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00" yWindow="972" windowWidth="28704" windowHeight="12048" tabRatio="607" firstSheet="0" activeTab="0" autoFilterDateGrouping="1"/>
  </bookViews>
  <sheets>
    <sheet name="Cump. Programa Prevención" sheetId="1" state="visible" r:id="rId1"/>
  </sheets>
  <definedNames>
    <definedName name="HLL_reunion_count">'Cump. Programa Prevención'!$G$10</definedName>
    <definedName name="HLU_reunion_count">'Cump. Programa Prevención'!$I$10</definedName>
    <definedName name="HRB_reunion_count">'Cump. Programa Prevención'!$K$10</definedName>
    <definedName name="HPV_reunion_count">'Cump. Programa Prevención'!$M$10</definedName>
    <definedName name="HLL_irl_count">'Cump. Programa Prevención'!$G$11</definedName>
    <definedName name="HLU_irl_count">'Cump. Programa Prevención'!$I$11</definedName>
    <definedName name="HRB_irl_count">'Cump. Programa Prevención'!$K$11</definedName>
    <definedName name="HPV_irl_count">'Cump. Programa Prevención'!$M$11</definedName>
    <definedName name="HLL_odi_count">'Cump. Programa Prevención'!$G$12</definedName>
    <definedName name="HLU_odi_count">'Cump. Programa Prevención'!$I$12</definedName>
    <definedName name="HRB_odi_count">'Cump. Programa Prevención'!$K$12</definedName>
    <definedName name="HPV_odi_count">'Cump. Programa Prevención'!$M$12</definedName>
    <definedName name="HLL_charla_count">'Cump. Programa Prevención'!$G$13</definedName>
    <definedName name="HLU_charla_count">'Cump. Programa Prevención'!$I$13</definedName>
    <definedName name="HRB_charla_count">'Cump. Programa Prevención'!$K$13</definedName>
    <definedName name="HPV_charla_count">'Cump. Programa Prevención'!$M$13</definedName>
    <definedName name="HLL_chintegral_count">'Cump. Programa Prevención'!$G$14</definedName>
    <definedName name="HLU_chintegral_count">'Cump. Programa Prevención'!$I$14</definedName>
    <definedName name="HRB_chintegral_count">'Cump. Programa Prevención'!$K$14</definedName>
    <definedName name="HPV_chintegral_count">'Cump. Programa Prevención'!$M$14</definedName>
    <definedName name="HLL_dif_pts_count">'Cump. Programa Prevención'!$G$15</definedName>
    <definedName name="HLU_dif_pts_count">'Cump. Programa Prevención'!$I$15</definedName>
    <definedName name="HRB_dif_pts_count">'Cump. Programa Prevención'!$K$15</definedName>
    <definedName name="HPV_dif_pts_count">'Cump. Programa Prevención'!$M$15</definedName>
    <definedName name="HLL_art_count">'Cump. Programa Prevención'!$G$16</definedName>
    <definedName name="HLU_art_count">'Cump. Programa Prevención'!$I$16</definedName>
    <definedName name="HRB_art_count">'Cump. Programa Prevención'!$K$16</definedName>
    <definedName name="HPV_art_count">'Cump. Programa Prevención'!$M$16</definedName>
    <definedName name="HLL_insgral_count">'Cump. Programa Prevención'!$G$17</definedName>
    <definedName name="HLU_insgral_count">'Cump. Programa Prevención'!$I$17</definedName>
    <definedName name="HRB_insgral_count">'Cump. Programa Prevención'!$K$17</definedName>
    <definedName name="HPV_insgral_count">'Cump. Programa Prevención'!$M$17</definedName>
    <definedName name="HLL_bodega_count">'Cump. Programa Prevención'!$G$18</definedName>
    <definedName name="HLU_bodega_count">'Cump. Programa Prevención'!$I$18</definedName>
    <definedName name="HRB_bodega_count">'Cump. Programa Prevención'!$K$18</definedName>
    <definedName name="HPV_bodega_count">'Cump. Programa Prevención'!$M$18</definedName>
    <definedName name="HLL_maquinaria_count">'Cump. Programa Prevención'!$G$19</definedName>
    <definedName name="HLU_maquinaria_count">'Cump. Programa Prevención'!$I$19</definedName>
    <definedName name="HRB_maquinaria_count">'Cump. Programa Prevención'!$K$19</definedName>
    <definedName name="HPV_maquinaria_count">'Cump. Programa Prevención'!$M$19</definedName>
    <definedName name="HLL_ext_count">'Cump. Programa Prevención'!$G$20</definedName>
    <definedName name="HLU_ext_count">'Cump. Programa Prevención'!$I$20</definedName>
    <definedName name="HRB_ext_count">'Cump. Programa Prevención'!$K$20</definedName>
    <definedName name="HPV_ext_count">'Cump. Programa Prevención'!$M$20</definedName>
    <definedName name="HLL_senal_count">'Cump. Programa Prevención'!$G$21</definedName>
    <definedName name="HLU_senal_count">'Cump. Programa Prevención'!$I$21</definedName>
    <definedName name="HRB_senal_count">'Cump. Programa Prevención'!$K$21</definedName>
    <definedName name="HPV_senal_count">'Cump. Programa Prevención'!$M$21</definedName>
    <definedName name="HLL_exc_count">'Cump. Programa Prevención'!$G$23</definedName>
    <definedName name="HLU_exc_count">'Cump. Programa Prevención'!$I$23</definedName>
    <definedName name="HRB_exc_count">'Cump. Programa Prevención'!$K$23</definedName>
    <definedName name="HPV_exc_count">'Cump. Programa Prevención'!$M$23</definedName>
    <definedName name="HLL_altura_count">'Cump. Programa Prevención'!$G$24</definedName>
    <definedName name="HLU_altura_count">'Cump. Programa Prevención'!$I$24</definedName>
    <definedName name="HRB_altura_count">'Cump. Programa Prevención'!$K$24</definedName>
    <definedName name="HPV_altura_count">'Cump. Programa Prevención'!$M$24</definedName>
    <definedName name="HLL_caliente_count">'Cump. Programa Prevención'!$G$25</definedName>
    <definedName name="HLU_caliente_count">'Cump. Programa Prevención'!$I$25</definedName>
    <definedName name="HRB_caliente_count">'Cump. Programa Prevención'!$K$25</definedName>
    <definedName name="HPV_caliente_count">'Cump. Programa Prevención'!$M$25</definedName>
    <definedName name="HLL_herramientas_elec_count">'Cump. Programa Prevención'!$G$27</definedName>
    <definedName name="HLU_herramientas_elec_count">'Cump. Programa Prevención'!$I$27</definedName>
    <definedName name="HRB_herramientas_elec_count">'Cump. Programa Prevención'!$K$27</definedName>
    <definedName name="HPV_herramientas_elec_count">'Cump. Programa Prevención'!$M$27</definedName>
    <definedName name="HLL_andamios_count">'Cump. Programa Prevención'!$G$28</definedName>
    <definedName name="HLU_andamios_count">'Cump. Programa Prevención'!$I$28</definedName>
    <definedName name="HRB_andamios_count">'Cump. Programa Prevención'!$K$28</definedName>
    <definedName name="HPV_andamios_count">'Cump. Programa Prevención'!$M$28</definedName>
    <definedName name="HLL_chps_count">'Cump. Programa Prevención'!$G$31</definedName>
    <definedName name="HLU_chps_count">'Cump. Programa Prevención'!$I$31</definedName>
    <definedName name="HRB_chps_count">'Cump. Programa Prevención'!$K$31</definedName>
    <definedName name="HPV_chps_count">'Cump. Programa Prevención'!$M$31</definedName>
    <definedName name="HLL_workers_chgen">'Cump. Programa Prevención'!$H$29</definedName>
    <definedName name="HLL_workers_chintegral">'Cump. Programa Prevención'!$H$30</definedName>
    <definedName name="HLU_workers_chgen">'Cump. Programa Prevención'!$J$29</definedName>
    <definedName name="HLU_workers_chintegral">'Cump. Programa Prevención'!$J$30</definedName>
    <definedName name="HRB_workers_chgen">'Cump. Programa Prevención'!$L$29</definedName>
    <definedName name="HRB_workers_chintegral">'Cump. Programa Prevención'!$L$30</definedName>
    <definedName name="HPV_workers_chgen">'Cump. Programa Prevención'!$N$29</definedName>
    <definedName name="HPV_workers_chintegral">'Cump. Programa Prevención'!$N$30</definedName>
    <definedName name="report_title">'Cump. Programa Prevención'!$E$2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_ * #,##0_ ;_ * \-#,##0_ ;_ * &quot;-&quot;_ ;_ @_ 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theme="1"/>
      <sz val="11"/>
    </font>
    <font>
      <name val="Arial"/>
      <family val="2"/>
      <b val="1"/>
      <color theme="1"/>
      <sz val="18"/>
    </font>
    <font>
      <name val="Arial"/>
      <family val="2"/>
      <b val="1"/>
      <color theme="1"/>
      <sz val="11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/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</borders>
  <cellStyleXfs count="5">
    <xf numFmtId="0" fontId="1" fillId="0" borderId="0"/>
    <xf numFmtId="0" fontId="1" fillId="0" borderId="0"/>
    <xf numFmtId="0" fontId="1" fillId="0" borderId="0"/>
    <xf numFmtId="165" fontId="1" fillId="0" borderId="0"/>
    <xf numFmtId="0" fontId="3" fillId="0" borderId="0"/>
  </cellStyleXfs>
  <cellXfs count="160"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23" pivotButton="0" quotePrefix="0" xfId="0"/>
    <xf numFmtId="0" fontId="6" fillId="3" borderId="9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9" applyAlignment="1" pivotButton="0" quotePrefix="0" xfId="0">
      <alignment horizontal="center" vertical="center" wrapText="1"/>
    </xf>
    <xf numFmtId="0" fontId="6" fillId="6" borderId="7" applyAlignment="1" pivotButton="0" quotePrefix="0" xfId="0">
      <alignment horizontal="center" vertical="center" wrapText="1"/>
    </xf>
    <xf numFmtId="0" fontId="6" fillId="6" borderId="9" applyAlignment="1" pivotButton="0" quotePrefix="0" xfId="0">
      <alignment horizontal="center" vertical="center" wrapText="1"/>
    </xf>
    <xf numFmtId="0" fontId="6" fillId="5" borderId="7" applyAlignment="1" pivotButton="0" quotePrefix="0" xfId="0">
      <alignment horizontal="center" vertical="center" wrapText="1"/>
    </xf>
    <xf numFmtId="0" fontId="6" fillId="5" borderId="9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0" fontId="6" fillId="2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/>
    </xf>
    <xf numFmtId="0" fontId="4" fillId="0" borderId="23" applyAlignment="1" pivotButton="0" quotePrefix="0" xfId="0">
      <alignment horizontal="left"/>
    </xf>
    <xf numFmtId="0" fontId="4" fillId="0" borderId="6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164" fontId="6" fillId="2" borderId="2" applyAlignment="1" pivotButton="0" quotePrefix="0" xfId="0">
      <alignment horizontal="center"/>
    </xf>
    <xf numFmtId="0" fontId="6" fillId="2" borderId="26" applyAlignment="1" pivotButton="0" quotePrefix="0" xfId="0">
      <alignment horizontal="center"/>
    </xf>
    <xf numFmtId="164" fontId="6" fillId="2" borderId="27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19" applyAlignment="1" pivotButton="0" quotePrefix="0" xfId="0">
      <alignment horizontal="center"/>
    </xf>
    <xf numFmtId="0" fontId="6" fillId="2" borderId="21" applyAlignment="1" pivotButton="0" quotePrefix="0" xfId="0">
      <alignment horizontal="center"/>
    </xf>
    <xf numFmtId="0" fontId="3" fillId="0" borderId="26" applyAlignment="1" pivotButton="0" quotePrefix="0" xfId="0">
      <alignment horizontal="center"/>
    </xf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center" wrapText="1"/>
    </xf>
    <xf numFmtId="0" fontId="3" fillId="0" borderId="19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6" fillId="3" borderId="1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6" fillId="3" borderId="28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30" pivotButton="0" quotePrefix="0" xfId="0"/>
    <xf numFmtId="0" fontId="6" fillId="3" borderId="28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3" fillId="0" borderId="33" applyAlignment="1" pivotButton="0" quotePrefix="0" xfId="0">
      <alignment horizontal="center"/>
    </xf>
    <xf numFmtId="0" fontId="6" fillId="3" borderId="24" applyAlignment="1" pivotButton="0" quotePrefix="0" xfId="0">
      <alignment horizontal="center" vertical="center" wrapText="1"/>
    </xf>
    <xf numFmtId="0" fontId="3" fillId="0" borderId="35" applyAlignment="1" pivotButton="0" quotePrefix="0" xfId="0">
      <alignment horizontal="center"/>
    </xf>
    <xf numFmtId="0" fontId="3" fillId="0" borderId="33" applyAlignment="1" pivotButton="0" quotePrefix="0" xfId="0">
      <alignment horizontal="center" wrapText="1"/>
    </xf>
    <xf numFmtId="0" fontId="3" fillId="0" borderId="36" applyAlignment="1" pivotButton="0" quotePrefix="0" xfId="0">
      <alignment horizontal="center"/>
    </xf>
    <xf numFmtId="0" fontId="6" fillId="3" borderId="34" applyAlignment="1" pivotButton="0" quotePrefix="0" xfId="0">
      <alignment horizontal="left"/>
    </xf>
    <xf numFmtId="0" fontId="6" fillId="2" borderId="28" applyAlignment="1" pivotButton="0" quotePrefix="0" xfId="0">
      <alignment horizontal="center" vertical="center" wrapText="1"/>
    </xf>
    <xf numFmtId="0" fontId="2" fillId="0" borderId="37" applyAlignment="1" pivotButton="0" quotePrefix="0" xfId="0">
      <alignment horizontal="center"/>
    </xf>
    <xf numFmtId="0" fontId="2" fillId="0" borderId="38" applyAlignment="1" pivotButton="0" quotePrefix="0" xfId="0">
      <alignment horizontal="center"/>
    </xf>
    <xf numFmtId="0" fontId="2" fillId="0" borderId="38" applyAlignment="1" pivotButton="0" quotePrefix="0" xfId="0">
      <alignment horizontal="center" wrapText="1"/>
    </xf>
    <xf numFmtId="0" fontId="6" fillId="3" borderId="28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0" borderId="19" applyAlignment="1" pivotButton="0" quotePrefix="0" xfId="0">
      <alignment horizontal="left"/>
    </xf>
    <xf numFmtId="0" fontId="4" fillId="0" borderId="20" applyAlignment="1" pivotButton="0" quotePrefix="0" xfId="0">
      <alignment horizontal="left"/>
    </xf>
    <xf numFmtId="0" fontId="4" fillId="0" borderId="21" applyAlignment="1" pivotButton="0" quotePrefix="0" xfId="0">
      <alignment horizontal="left"/>
    </xf>
    <xf numFmtId="0" fontId="4" fillId="0" borderId="4" applyAlignment="1" pivotButton="0" quotePrefix="0" xfId="0">
      <alignment horizontal="left" wrapText="1"/>
    </xf>
    <xf numFmtId="0" fontId="4" fillId="0" borderId="5" applyAlignment="1" pivotButton="0" quotePrefix="0" xfId="0">
      <alignment horizontal="left" wrapText="1"/>
    </xf>
    <xf numFmtId="0" fontId="4" fillId="0" borderId="6" applyAlignment="1" pivotButton="0" quotePrefix="0" xfId="0">
      <alignment horizontal="left" wrapText="1"/>
    </xf>
    <xf numFmtId="0" fontId="4" fillId="0" borderId="4" applyAlignment="1" pivotButton="0" quotePrefix="0" xfId="0">
      <alignment horizontal="left"/>
    </xf>
    <xf numFmtId="0" fontId="4" fillId="0" borderId="5" applyAlignment="1" pivotButton="0" quotePrefix="0" xfId="0">
      <alignment horizontal="left"/>
    </xf>
    <xf numFmtId="0" fontId="4" fillId="0" borderId="6" applyAlignment="1" pivotButton="0" quotePrefix="0" xfId="0">
      <alignment horizontal="left"/>
    </xf>
    <xf numFmtId="0" fontId="4" fillId="0" borderId="11" applyAlignment="1" pivotButton="0" quotePrefix="0" xfId="0">
      <alignment horizontal="left"/>
    </xf>
    <xf numFmtId="0" fontId="4" fillId="0" borderId="12" applyAlignment="1" pivotButton="0" quotePrefix="0" xfId="0">
      <alignment horizontal="left"/>
    </xf>
    <xf numFmtId="0" fontId="4" fillId="0" borderId="25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0" fontId="4" fillId="0" borderId="13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5" fillId="2" borderId="13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4" fillId="0" borderId="27" applyAlignment="1" pivotButton="0" quotePrefix="0" xfId="0">
      <alignment horizontal="left"/>
    </xf>
    <xf numFmtId="0" fontId="6" fillId="2" borderId="7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/>
    </xf>
    <xf numFmtId="0" fontId="0" fillId="0" borderId="14" pivotButton="0" quotePrefix="0" xfId="0"/>
    <xf numFmtId="0" fontId="5" fillId="0" borderId="7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2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31" pivotButton="0" quotePrefix="0" xfId="0"/>
    <xf numFmtId="0" fontId="5" fillId="2" borderId="28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8" pivotButton="0" quotePrefix="0" xfId="0"/>
    <xf numFmtId="0" fontId="0" fillId="0" borderId="34" pivotButton="0" quotePrefix="0" xfId="0"/>
    <xf numFmtId="0" fontId="0" fillId="0" borderId="24" pivotButton="0" quotePrefix="0" xfId="0"/>
    <xf numFmtId="0" fontId="0" fillId="0" borderId="39" pivotButton="0" quotePrefix="0" xfId="0"/>
    <xf numFmtId="0" fontId="0" fillId="0" borderId="35" pivotButton="0" quotePrefix="0" xfId="0"/>
    <xf numFmtId="164" fontId="6" fillId="2" borderId="2" applyAlignment="1" pivotButton="0" quotePrefix="0" xfId="0">
      <alignment horizontal="center"/>
    </xf>
    <xf numFmtId="0" fontId="0" fillId="0" borderId="12" pivotButton="0" quotePrefix="0" xfId="0"/>
    <xf numFmtId="0" fontId="0" fillId="0" borderId="33" pivotButton="0" quotePrefix="0" xfId="0"/>
    <xf numFmtId="164" fontId="6" fillId="2" borderId="27" applyAlignment="1" pivotButton="0" quotePrefix="0" xfId="0">
      <alignment horizontal="center"/>
    </xf>
    <xf numFmtId="0" fontId="4" fillId="0" borderId="38" applyAlignment="1" pivotButton="0" quotePrefix="0" xfId="0">
      <alignment horizontal="left"/>
    </xf>
    <xf numFmtId="0" fontId="0" fillId="0" borderId="25" pivotButton="0" quotePrefix="0" xfId="0"/>
    <xf numFmtId="0" fontId="0" fillId="0" borderId="43" pivotButton="0" quotePrefix="0" xfId="0"/>
    <xf numFmtId="0" fontId="0" fillId="0" borderId="36" pivotButton="0" quotePrefix="0" xfId="0"/>
    <xf numFmtId="0" fontId="0" fillId="0" borderId="44" pivotButton="0" quotePrefix="0" xfId="0"/>
    <xf numFmtId="0" fontId="4" fillId="0" borderId="44" pivotButton="0" quotePrefix="0" xfId="0"/>
    <xf numFmtId="0" fontId="4" fillId="0" borderId="44" applyAlignment="1" pivotButton="0" quotePrefix="0" xfId="0">
      <alignment horizontal="left"/>
    </xf>
    <xf numFmtId="0" fontId="1" fillId="0" borderId="43" pivotButton="0" quotePrefix="0" xfId="0"/>
    <xf numFmtId="0" fontId="1" fillId="0" borderId="36" pivotButton="0" quotePrefix="0" xfId="0"/>
    <xf numFmtId="0" fontId="6" fillId="2" borderId="45" applyAlignment="1" pivotButton="0" quotePrefix="0" xfId="0">
      <alignment horizontal="center" vertical="center"/>
    </xf>
    <xf numFmtId="0" fontId="0" fillId="0" borderId="46" pivotButton="0" quotePrefix="0" xfId="0"/>
    <xf numFmtId="0" fontId="6" fillId="2" borderId="46" applyAlignment="1" pivotButton="0" quotePrefix="0" xfId="0">
      <alignment horizontal="center" vertical="center" wrapText="1"/>
    </xf>
    <xf numFmtId="0" fontId="6" fillId="3" borderId="46" applyAlignment="1" pivotButton="0" quotePrefix="0" xfId="0">
      <alignment horizontal="center" vertical="center" wrapText="1"/>
    </xf>
    <xf numFmtId="0" fontId="6" fillId="4" borderId="46" applyAlignment="1" pivotButton="0" quotePrefix="0" xfId="0">
      <alignment horizontal="center" vertical="center" wrapText="1"/>
    </xf>
    <xf numFmtId="0" fontId="6" fillId="6" borderId="46" applyAlignment="1" pivotButton="0" quotePrefix="0" xfId="0">
      <alignment horizontal="center" vertical="center" wrapText="1"/>
    </xf>
    <xf numFmtId="0" fontId="6" fillId="5" borderId="46" applyAlignment="1" pivotButton="0" quotePrefix="0" xfId="0">
      <alignment horizontal="center" vertical="center" wrapText="1"/>
    </xf>
    <xf numFmtId="0" fontId="6" fillId="2" borderId="47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left"/>
    </xf>
    <xf numFmtId="0" fontId="0" fillId="0" borderId="49" pivotButton="0" quotePrefix="0" xfId="0"/>
    <xf numFmtId="0" fontId="2" fillId="0" borderId="49" applyAlignment="1" pivotButton="0" quotePrefix="0" xfId="0">
      <alignment horizontal="center"/>
    </xf>
    <xf numFmtId="3" fontId="3" fillId="0" borderId="49" applyAlignment="1" pivotButton="0" quotePrefix="0" xfId="0">
      <alignment horizontal="center"/>
    </xf>
    <xf numFmtId="4" fontId="3" fillId="0" borderId="49" applyAlignment="1" pivotButton="0" quotePrefix="0" xfId="0">
      <alignment horizontal="center"/>
    </xf>
    <xf numFmtId="3" fontId="6" fillId="2" borderId="49" applyAlignment="1" pivotButton="0" quotePrefix="0" xfId="0">
      <alignment horizontal="center"/>
    </xf>
    <xf numFmtId="4" fontId="6" fillId="2" borderId="50" applyAlignment="1" pivotButton="0" quotePrefix="0" xfId="0">
      <alignment horizontal="center"/>
    </xf>
    <xf numFmtId="4" fontId="4" fillId="0" borderId="49" applyAlignment="1" pivotButton="0" quotePrefix="0" xfId="0">
      <alignment horizontal="center"/>
    </xf>
    <xf numFmtId="0" fontId="4" fillId="0" borderId="48" applyAlignment="1" pivotButton="0" quotePrefix="0" xfId="0">
      <alignment horizontal="left" wrapText="1"/>
    </xf>
    <xf numFmtId="0" fontId="2" fillId="0" borderId="49" applyAlignment="1" pivotButton="0" quotePrefix="0" xfId="0">
      <alignment horizontal="center" wrapText="1"/>
    </xf>
    <xf numFmtId="3" fontId="3" fillId="0" borderId="49" applyAlignment="1" pivotButton="0" quotePrefix="0" xfId="0">
      <alignment horizontal="center" wrapText="1"/>
    </xf>
    <xf numFmtId="0" fontId="7" fillId="7" borderId="48" applyAlignment="1" pivotButton="0" quotePrefix="0" xfId="0">
      <alignment horizontal="left" vertical="center"/>
    </xf>
    <xf numFmtId="0" fontId="7" fillId="7" borderId="49" pivotButton="0" quotePrefix="0" xfId="0"/>
    <xf numFmtId="0" fontId="7" fillId="7" borderId="49" applyAlignment="1" pivotButton="0" quotePrefix="0" xfId="0">
      <alignment horizontal="left"/>
    </xf>
    <xf numFmtId="3" fontId="7" fillId="7" borderId="49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/>
    </xf>
    <xf numFmtId="0" fontId="0" fillId="0" borderId="50" pivotButton="0" quotePrefix="0" xfId="0"/>
    <xf numFmtId="0" fontId="4" fillId="0" borderId="51" applyAlignment="1" pivotButton="0" quotePrefix="0" xfId="0">
      <alignment horizontal="left"/>
    </xf>
    <xf numFmtId="0" fontId="0" fillId="0" borderId="52" pivotButton="0" quotePrefix="0" xfId="0"/>
    <xf numFmtId="0" fontId="2" fillId="0" borderId="52" applyAlignment="1" pivotButton="0" quotePrefix="0" xfId="0">
      <alignment horizontal="center"/>
    </xf>
    <xf numFmtId="3" fontId="3" fillId="0" borderId="52" applyAlignment="1" pivotButton="0" quotePrefix="0" xfId="0">
      <alignment horizontal="center"/>
    </xf>
    <xf numFmtId="4" fontId="4" fillId="0" borderId="52" applyAlignment="1" pivotButton="0" quotePrefix="0" xfId="0">
      <alignment horizontal="center"/>
    </xf>
    <xf numFmtId="3" fontId="6" fillId="2" borderId="52" applyAlignment="1" pivotButton="0" quotePrefix="0" xfId="0">
      <alignment horizontal="center"/>
    </xf>
    <xf numFmtId="4" fontId="6" fillId="2" borderId="53" applyAlignment="1" pivotButton="0" quotePrefix="0" xfId="0">
      <alignment horizontal="center"/>
    </xf>
    <xf numFmtId="0" fontId="0" fillId="0" borderId="56" pivotButton="0" quotePrefix="0" xfId="0"/>
    <xf numFmtId="0" fontId="0" fillId="0" borderId="57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0" fontId="0" fillId="0" borderId="63" pivotButton="0" quotePrefix="0" xfId="0"/>
  </cellXfs>
  <cellStyles count="5">
    <cellStyle name="Normal" xfId="0" builtinId="0"/>
    <cellStyle name="Normal 3" xfId="1"/>
    <cellStyle name="Normal 2 4" xfId="2"/>
    <cellStyle name="Millares [0] 3" xfId="3"/>
    <cellStyle name="Normal 4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95250</colOff>
      <row>1</row>
      <rowOff>123825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36"/>
  <sheetViews>
    <sheetView tabSelected="1" topLeftCell="B8" zoomScaleNormal="100" workbookViewId="0">
      <selection activeCell="H18" sqref="H18"/>
    </sheetView>
  </sheetViews>
  <sheetFormatPr baseColWidth="8" defaultColWidth="11.3984375" defaultRowHeight="13.8"/>
  <cols>
    <col width="3.59765625" customWidth="1" style="69" min="1" max="1"/>
    <col width="11.3984375" customWidth="1" style="36" min="2" max="2"/>
    <col width="41.09765625" customWidth="1" style="36" min="3" max="3"/>
    <col width="0.09765625" customWidth="1" style="36" min="4" max="4"/>
    <col width="7.296875" customWidth="1" style="36" min="5" max="5"/>
    <col width="26.19921875" customWidth="1" style="36" min="6" max="6"/>
    <col width="18.3984375" customWidth="1" style="36" min="7" max="7"/>
    <col width="19.3984375" customWidth="1" style="36" min="8" max="8"/>
    <col width="21.19921875" customWidth="1" style="36" min="9" max="9"/>
    <col width="25.59765625" customWidth="1" style="36" min="10" max="10"/>
    <col width="22.09765625" customWidth="1" style="36" min="11" max="11"/>
    <col width="19.3984375" customWidth="1" style="36" min="12" max="12"/>
    <col width="23.5" customWidth="1" style="36" min="13" max="13"/>
    <col width="19.3984375" customWidth="1" style="36" min="14" max="14"/>
    <col width="21.8984375" customWidth="1" style="36" min="15" max="15"/>
    <col width="23.19921875" customWidth="1" style="36" min="16" max="16"/>
    <col width="13.59765625" customWidth="1" style="36" min="17" max="17"/>
    <col width="5.3984375" customWidth="1" style="36" min="18" max="18"/>
    <col width="20" customWidth="1" style="36" min="19" max="19"/>
    <col width="12.59765625" customWidth="1" style="36" min="20" max="20"/>
    <col width="19" customWidth="1" style="36" min="21" max="21"/>
    <col width="2.3984375" customWidth="1" style="36" min="22" max="22"/>
    <col width="11.3984375" customWidth="1" style="36" min="23" max="23"/>
    <col width="4" customWidth="1" style="36" min="24" max="25"/>
    <col width="11.3984375" customWidth="1" style="36" min="26" max="26"/>
    <col width="11.3984375" customWidth="1" style="36" min="27" max="16384"/>
  </cols>
  <sheetData>
    <row r="1" ht="14.4" customHeight="1" thickBot="1">
      <c r="Q1" s="117" t="n"/>
      <c r="R1" s="117" t="n"/>
      <c r="S1" s="117" t="n"/>
      <c r="T1" s="117" t="n"/>
      <c r="U1" s="117" t="n"/>
      <c r="V1" s="117" t="n"/>
      <c r="W1" s="117" t="n"/>
      <c r="X1" s="117" t="n"/>
      <c r="Y1" s="117" t="n"/>
      <c r="Z1" s="117" t="n"/>
    </row>
    <row r="2" ht="21.75" customHeight="1">
      <c r="B2" s="93" t="n"/>
      <c r="C2" s="94" t="n"/>
      <c r="D2" s="94" t="n"/>
      <c r="E2" s="95" t="inlineStr">
        <is>
          <t>RESUMEN EJECUTIVO ACTIVIDADES DE PREVENCIÓN DE RIESGOS
MARZO 2026
PROYECTO RED LOS RÍOS - LOS LAGOS</t>
        </is>
      </c>
      <c r="F2" s="94" t="n"/>
      <c r="G2" s="94" t="n"/>
      <c r="H2" s="94" t="n"/>
      <c r="I2" s="94" t="n"/>
      <c r="J2" s="94" t="n"/>
      <c r="K2" s="94" t="n"/>
      <c r="L2" s="94" t="n"/>
      <c r="M2" s="94" t="n"/>
      <c r="N2" s="94" t="n"/>
      <c r="O2" s="94" t="n"/>
      <c r="P2" s="96" t="n"/>
      <c r="Q2" s="117" t="n"/>
      <c r="R2" s="117" t="n"/>
      <c r="S2" s="117" t="n"/>
      <c r="T2" s="117" t="n"/>
      <c r="U2" s="117" t="n"/>
      <c r="V2" s="117" t="n"/>
      <c r="W2" s="117" t="n"/>
      <c r="X2" s="117" t="n"/>
      <c r="Y2" s="117" t="n"/>
      <c r="Z2" s="117" t="n"/>
    </row>
    <row r="3" ht="21.75" customHeight="1">
      <c r="B3" s="97" t="n"/>
      <c r="E3" s="97" t="n"/>
      <c r="P3" s="98" t="n"/>
      <c r="Q3" s="117" t="n"/>
      <c r="R3" s="117" t="n"/>
      <c r="S3" s="117" t="n"/>
      <c r="T3" s="117" t="n"/>
      <c r="U3" s="117" t="n"/>
      <c r="V3" s="117" t="n"/>
      <c r="W3" s="117" t="n"/>
      <c r="X3" s="117" t="n"/>
      <c r="Y3" s="117" t="n"/>
      <c r="Z3" s="117" t="n"/>
    </row>
    <row r="4" ht="21.75" customHeight="1">
      <c r="B4" s="97" t="n"/>
      <c r="E4" s="97" t="n"/>
      <c r="P4" s="98" t="n"/>
      <c r="Q4" s="117" t="n"/>
      <c r="R4" s="117" t="n"/>
      <c r="S4" s="117" t="n"/>
      <c r="T4" s="117" t="n"/>
      <c r="U4" s="117" t="n"/>
      <c r="V4" s="117" t="n"/>
      <c r="W4" s="117" t="n"/>
      <c r="X4" s="117" t="n"/>
      <c r="Y4" s="117" t="n"/>
      <c r="Z4" s="117" t="n"/>
    </row>
    <row r="5" ht="21.75" customHeight="1" thickBot="1">
      <c r="B5" s="99" t="n"/>
      <c r="C5" s="100" t="n"/>
      <c r="D5" s="100" t="n"/>
      <c r="E5" s="99" t="n"/>
      <c r="F5" s="100" t="n"/>
      <c r="G5" s="100" t="n"/>
      <c r="H5" s="100" t="n"/>
      <c r="I5" s="100" t="n"/>
      <c r="J5" s="100" t="n"/>
      <c r="K5" s="100" t="n"/>
      <c r="L5" s="100" t="n"/>
      <c r="M5" s="100" t="n"/>
      <c r="N5" s="100" t="n"/>
      <c r="O5" s="100" t="n"/>
      <c r="P5" s="101" t="n"/>
      <c r="Q5" s="117" t="n"/>
      <c r="R5" s="117" t="n"/>
      <c r="S5" s="117" t="n"/>
      <c r="T5" s="117" t="n"/>
      <c r="U5" s="117" t="n"/>
      <c r="V5" s="117" t="n"/>
      <c r="W5" s="117" t="n"/>
      <c r="X5" s="117" t="n"/>
      <c r="Y5" s="117" t="n"/>
      <c r="Z5" s="117" t="n"/>
    </row>
    <row r="6" ht="14.7" customHeight="1">
      <c r="B6" s="102" t="inlineStr">
        <is>
          <t>CUMPLIMIENTO PLAN DE PREVENCIÓN DE RIESGOS</t>
        </is>
      </c>
      <c r="C6" s="94" t="n"/>
      <c r="D6" s="94" t="n"/>
      <c r="E6" s="94" t="n"/>
      <c r="F6" s="94" t="n"/>
      <c r="G6" s="94" t="n"/>
      <c r="H6" s="94" t="n"/>
      <c r="I6" s="94" t="n"/>
      <c r="J6" s="94" t="n"/>
      <c r="K6" s="94" t="n"/>
      <c r="L6" s="94" t="n"/>
      <c r="M6" s="94" t="n"/>
      <c r="N6" s="94" t="n"/>
      <c r="O6" s="94" t="n"/>
      <c r="P6" s="103" t="n"/>
      <c r="Q6" s="117" t="n"/>
      <c r="R6" s="117" t="n"/>
      <c r="S6" s="117" t="n"/>
      <c r="T6" s="117" t="n"/>
      <c r="U6" s="118" t="n"/>
      <c r="V6" s="118" t="n"/>
      <c r="W6" s="118" t="n"/>
      <c r="X6" s="118" t="n"/>
      <c r="Y6" s="118" t="n"/>
      <c r="Z6" s="118" t="n"/>
    </row>
    <row r="7" ht="14.7" customHeight="1" thickBot="1">
      <c r="B7" s="99" t="n"/>
      <c r="C7" s="100" t="n"/>
      <c r="D7" s="100" t="n"/>
      <c r="E7" s="100" t="n"/>
      <c r="F7" s="100" t="n"/>
      <c r="G7" s="100" t="n"/>
      <c r="H7" s="100" t="n"/>
      <c r="I7" s="100" t="n"/>
      <c r="J7" s="100" t="n"/>
      <c r="K7" s="100" t="n"/>
      <c r="L7" s="100" t="n"/>
      <c r="M7" s="100" t="n"/>
      <c r="N7" s="100" t="n"/>
      <c r="O7" s="100" t="n"/>
      <c r="P7" s="104" t="n"/>
      <c r="Q7" s="117" t="n"/>
      <c r="R7" s="117" t="n"/>
      <c r="S7" s="117" t="n"/>
      <c r="T7" s="117" t="n"/>
      <c r="U7" s="118" t="n"/>
      <c r="V7" s="118" t="n"/>
      <c r="W7" s="118" t="n"/>
      <c r="X7" s="118" t="n"/>
      <c r="Y7" s="118" t="n"/>
      <c r="Z7" s="118" t="n"/>
    </row>
    <row r="8" ht="14.4" customHeight="1" thickBot="1">
      <c r="B8" s="66" t="n"/>
      <c r="C8" s="94" t="n"/>
      <c r="D8" s="94" t="n"/>
      <c r="E8" s="94" t="n"/>
      <c r="F8" s="94" t="n"/>
      <c r="G8" s="94" t="n"/>
      <c r="H8" s="94" t="n"/>
      <c r="I8" s="94" t="n"/>
      <c r="J8" s="94" t="n"/>
      <c r="K8" s="94" t="n"/>
      <c r="L8" s="94" t="n"/>
      <c r="M8" s="94" t="n"/>
      <c r="N8" s="94" t="n"/>
      <c r="O8" s="94" t="n"/>
      <c r="P8" s="94" t="n"/>
      <c r="Q8" s="117" t="n"/>
      <c r="R8" s="117" t="n"/>
      <c r="S8" s="117" t="n"/>
      <c r="T8" s="117" t="n"/>
      <c r="U8" s="117" t="n"/>
      <c r="V8" s="117" t="n"/>
      <c r="W8" s="117" t="n"/>
      <c r="X8" s="117" t="n"/>
      <c r="Y8" s="117" t="n"/>
      <c r="Z8" s="118" t="n"/>
    </row>
    <row r="9" ht="28.2" customHeight="1" thickBot="1">
      <c r="B9" s="122" t="inlineStr">
        <is>
          <t>Cumplimiento Operacional</t>
        </is>
      </c>
      <c r="C9" s="154" t="n"/>
      <c r="D9" s="154" t="n"/>
      <c r="E9" s="155" t="n"/>
      <c r="F9" s="124" t="inlineStr">
        <is>
          <t xml:space="preserve">Periodicidad de acuerdo a Plan de Prevención </t>
        </is>
      </c>
      <c r="G9" s="125" t="inlineStr">
        <is>
          <t>Cantidad Realizada
LOS LAGOS</t>
        </is>
      </c>
      <c r="H9" s="125" t="inlineStr">
        <is>
          <t>HH Capacitación 
LOS LAGOS</t>
        </is>
      </c>
      <c r="I9" s="126" t="inlineStr">
        <is>
          <t>Cantidad Realizada
LA UNIÓN</t>
        </is>
      </c>
      <c r="J9" s="126" t="inlineStr">
        <is>
          <t>HH Capacitación 
LA UNIÓN</t>
        </is>
      </c>
      <c r="K9" s="127" t="inlineStr">
        <is>
          <t>Cantidad Realizada
RÍO BUENO</t>
        </is>
      </c>
      <c r="L9" s="127" t="inlineStr">
        <is>
          <t>HH Capacitación 
RÍO BUENO</t>
        </is>
      </c>
      <c r="M9" s="128" t="inlineStr">
        <is>
          <t>Cantidad Realizada
PUERTO VARAS</t>
        </is>
      </c>
      <c r="N9" s="128" t="inlineStr">
        <is>
          <t>HH Capacitación 
PUERTO VARAS</t>
        </is>
      </c>
      <c r="O9" s="124" t="inlineStr">
        <is>
          <t>TOTAL
Cantidad Realizada</t>
        </is>
      </c>
      <c r="P9" s="129" t="inlineStr">
        <is>
          <t>TOTAL 
HH Capacitación</t>
        </is>
      </c>
      <c r="Q9" s="117" t="n"/>
      <c r="R9" s="117" t="n"/>
      <c r="S9" s="117" t="n"/>
      <c r="T9" s="117" t="n"/>
      <c r="U9" s="117" t="n"/>
      <c r="V9" s="117" t="n"/>
      <c r="W9" s="117" t="n"/>
      <c r="X9" s="117" t="n"/>
      <c r="Y9" s="117" t="n"/>
      <c r="Z9" s="118" t="n"/>
    </row>
    <row r="10" customFormat="1" s="52">
      <c r="A10" s="69" t="n"/>
      <c r="B10" s="130" t="inlineStr">
        <is>
          <t>N° de Reuniones de Prevención de Riesgos</t>
        </is>
      </c>
      <c r="C10" s="156" t="n"/>
      <c r="D10" s="156" t="n"/>
      <c r="E10" s="157" t="n"/>
      <c r="F10" s="132" t="inlineStr">
        <is>
          <t>Mensual</t>
        </is>
      </c>
      <c r="G10" s="133" t="n"/>
      <c r="H10" s="134">
        <f>G10*1</f>
        <v/>
      </c>
      <c r="I10" s="133" t="n"/>
      <c r="J10" s="134">
        <f>I10*1</f>
        <v/>
      </c>
      <c r="K10" s="133" t="n"/>
      <c r="L10" s="134">
        <f>K10*1</f>
        <v/>
      </c>
      <c r="M10" s="133" t="n"/>
      <c r="N10" s="134">
        <f>M10*1</f>
        <v/>
      </c>
      <c r="O10" s="135">
        <f>SUM(G10,I10,K10,M10)</f>
        <v/>
      </c>
      <c r="P10" s="136">
        <f>SUM(N10,L10,J10,H10)</f>
        <v/>
      </c>
      <c r="Q10" s="117" t="n"/>
      <c r="R10" s="117" t="n"/>
      <c r="S10" s="117" t="n"/>
      <c r="T10" s="117" t="n"/>
      <c r="U10" s="117" t="n"/>
      <c r="V10" s="117" t="n"/>
      <c r="W10" s="117" t="n"/>
      <c r="X10" s="117" t="n"/>
      <c r="Y10" s="117" t="n"/>
      <c r="Z10" s="119" t="n"/>
    </row>
    <row r="11" customFormat="1" s="52">
      <c r="A11" s="69" t="n"/>
      <c r="B11" s="130" t="inlineStr">
        <is>
          <t>N° de Charlas de Inducción (ODI)</t>
        </is>
      </c>
      <c r="C11" s="156" t="n"/>
      <c r="D11" s="156" t="n"/>
      <c r="E11" s="157" t="n"/>
      <c r="F11" s="132" t="inlineStr">
        <is>
          <t>Cada vez</t>
        </is>
      </c>
      <c r="G11" s="133" t="n"/>
      <c r="H11" s="134">
        <f>G11*3</f>
        <v/>
      </c>
      <c r="I11" s="133" t="n"/>
      <c r="J11" s="134">
        <f>I11*3</f>
        <v/>
      </c>
      <c r="K11" s="133" t="n"/>
      <c r="L11" s="134">
        <f>K11*3</f>
        <v/>
      </c>
      <c r="M11" s="133" t="n"/>
      <c r="N11" s="134">
        <f>M11*3</f>
        <v/>
      </c>
      <c r="O11" s="135">
        <f>SUM(G11,I11,K11,M11)</f>
        <v/>
      </c>
      <c r="P11" s="136">
        <f>SUM(N11,L11,J11,H11)</f>
        <v/>
      </c>
      <c r="Q11" s="117" t="n"/>
      <c r="R11" s="117" t="n"/>
      <c r="S11" s="117" t="n"/>
      <c r="T11" s="117" t="n"/>
      <c r="U11" s="117" t="n"/>
      <c r="V11" s="117" t="n"/>
      <c r="W11" s="117" t="n"/>
      <c r="X11" s="117" t="n"/>
      <c r="Y11" s="117" t="n"/>
      <c r="Z11" s="119" t="n"/>
    </row>
    <row r="12" customFormat="1" s="52">
      <c r="A12" s="69" t="n"/>
      <c r="B12" s="130" t="inlineStr">
        <is>
          <t>N° de Charlas de Inducción Visita</t>
        </is>
      </c>
      <c r="C12" s="156" t="n"/>
      <c r="D12" s="156" t="n"/>
      <c r="E12" s="157" t="n"/>
      <c r="F12" s="132" t="inlineStr">
        <is>
          <t>Cada vez</t>
        </is>
      </c>
      <c r="G12" s="133" t="n"/>
      <c r="H12" s="134">
        <f>G12*0.25</f>
        <v/>
      </c>
      <c r="I12" s="133" t="n"/>
      <c r="J12" s="134">
        <f>I12*0.25</f>
        <v/>
      </c>
      <c r="K12" s="133" t="n"/>
      <c r="L12" s="134">
        <f>K11*0.25</f>
        <v/>
      </c>
      <c r="M12" s="133" t="n"/>
      <c r="N12" s="134">
        <f>M12*0.25</f>
        <v/>
      </c>
      <c r="O12" s="135">
        <f>SUM(G12,I12,K12,M12)</f>
        <v/>
      </c>
      <c r="P12" s="136">
        <f>SUM(N12,L12,J12,H12)</f>
        <v/>
      </c>
      <c r="Q12" s="117" t="n"/>
      <c r="R12" s="117" t="n"/>
      <c r="S12" s="117" t="n"/>
      <c r="T12" s="117" t="n"/>
      <c r="U12" s="117" t="n"/>
      <c r="V12" s="117" t="n"/>
      <c r="W12" s="117" t="n"/>
      <c r="X12" s="117" t="n"/>
      <c r="Y12" s="117" t="n"/>
      <c r="Z12" s="119" t="n"/>
    </row>
    <row r="13" customFormat="1" s="52">
      <c r="A13" s="69" t="n"/>
      <c r="B13" s="130" t="inlineStr">
        <is>
          <t>N° de Charlas Generales (Diarias)</t>
        </is>
      </c>
      <c r="C13" s="156" t="n"/>
      <c r="D13" s="156" t="n"/>
      <c r="E13" s="157" t="n"/>
      <c r="F13" s="132" t="inlineStr">
        <is>
          <t>Diaria</t>
        </is>
      </c>
      <c r="G13" s="133" t="n"/>
      <c r="H13" s="134">
        <f>H29*0.25</f>
        <v/>
      </c>
      <c r="I13" s="133" t="n"/>
      <c r="J13" s="134">
        <f>J29*0.25</f>
        <v/>
      </c>
      <c r="K13" s="133" t="n"/>
      <c r="L13" s="134">
        <f>L29*0.25</f>
        <v/>
      </c>
      <c r="M13" s="133" t="n"/>
      <c r="N13" s="134">
        <f>N29*0.25</f>
        <v/>
      </c>
      <c r="O13" s="135">
        <f>SUM(G13,I13,K13,M13)</f>
        <v/>
      </c>
      <c r="P13" s="136">
        <f>SUM(N13,L13,J13,H13)</f>
        <v/>
      </c>
      <c r="Q13" s="117" t="n"/>
      <c r="R13" s="117" t="n"/>
      <c r="S13" s="117" t="n"/>
      <c r="T13" s="117" t="n"/>
      <c r="U13" s="117" t="n"/>
      <c r="V13" s="117" t="n"/>
      <c r="W13" s="117" t="n"/>
      <c r="X13" s="117" t="n"/>
      <c r="Y13" s="117" t="n"/>
      <c r="Z13" s="119" t="n"/>
    </row>
    <row r="14" customFormat="1" s="52">
      <c r="A14" s="69" t="n"/>
      <c r="B14" s="130" t="inlineStr">
        <is>
          <t>N° de Charlas Integrales</t>
        </is>
      </c>
      <c r="C14" s="156" t="n"/>
      <c r="D14" s="156" t="n"/>
      <c r="E14" s="157" t="n"/>
      <c r="F14" s="132" t="inlineStr">
        <is>
          <t>Semanal</t>
        </is>
      </c>
      <c r="G14" s="133" t="n"/>
      <c r="H14" s="134">
        <f>H30*0.5</f>
        <v/>
      </c>
      <c r="I14" s="133" t="n"/>
      <c r="J14" s="134">
        <f>J30*0.5</f>
        <v/>
      </c>
      <c r="K14" s="133" t="n"/>
      <c r="L14" s="134">
        <f>L30*0.5</f>
        <v/>
      </c>
      <c r="M14" s="133" t="n"/>
      <c r="N14" s="134">
        <f>N30*0.5</f>
        <v/>
      </c>
      <c r="O14" s="135">
        <f>SUM(G14,I14,K14,M14)</f>
        <v/>
      </c>
      <c r="P14" s="136">
        <f>SUM(N14,L14,J14,H14)</f>
        <v/>
      </c>
      <c r="Q14" s="117" t="n"/>
      <c r="R14" s="117" t="n"/>
      <c r="S14" s="117" t="n"/>
      <c r="T14" s="117" t="n"/>
      <c r="U14" s="117" t="n"/>
      <c r="V14" s="117" t="n"/>
      <c r="W14" s="117" t="n"/>
      <c r="X14" s="117" t="n"/>
      <c r="Y14" s="117" t="n"/>
      <c r="Z14" s="119" t="n"/>
    </row>
    <row r="15" customFormat="1" s="52">
      <c r="A15" s="69" t="n"/>
      <c r="B15" s="130" t="inlineStr">
        <is>
          <t>Difusión de PTS</t>
        </is>
      </c>
      <c r="C15" s="156" t="n"/>
      <c r="D15" s="156" t="n"/>
      <c r="E15" s="157" t="n"/>
      <c r="F15" s="132" t="inlineStr">
        <is>
          <t>Cada vez</t>
        </is>
      </c>
      <c r="G15" s="133" t="n"/>
      <c r="H15" s="134">
        <f>G15*0.5</f>
        <v/>
      </c>
      <c r="I15" s="133" t="n"/>
      <c r="J15" s="134">
        <f>I15*0.5</f>
        <v/>
      </c>
      <c r="K15" s="133" t="n"/>
      <c r="L15" s="134">
        <f>K15*0.5</f>
        <v/>
      </c>
      <c r="M15" s="133" t="n"/>
      <c r="N15" s="134">
        <f>M15*0.5</f>
        <v/>
      </c>
      <c r="O15" s="135">
        <f>SUM(G15,I15,K15,M15)</f>
        <v/>
      </c>
      <c r="P15" s="136">
        <f>SUM(N15,L15,J15,H15)</f>
        <v/>
      </c>
      <c r="Q15" s="117" t="n"/>
      <c r="R15" s="117" t="n"/>
      <c r="S15" s="117" t="n"/>
      <c r="T15" s="117" t="n"/>
      <c r="U15" s="117" t="n"/>
      <c r="V15" s="117" t="n"/>
      <c r="W15" s="117" t="n"/>
      <c r="X15" s="117" t="n"/>
      <c r="Y15" s="117" t="n"/>
      <c r="Z15" s="119" t="n"/>
    </row>
    <row r="16" customFormat="1" s="52">
      <c r="A16" s="69" t="n"/>
      <c r="B16" s="130" t="inlineStr">
        <is>
          <t>ART realizadas</t>
        </is>
      </c>
      <c r="C16" s="156" t="n"/>
      <c r="D16" s="156" t="n"/>
      <c r="E16" s="157" t="n"/>
      <c r="F16" s="132" t="inlineStr">
        <is>
          <t>Diaria</t>
        </is>
      </c>
      <c r="G16" s="133" t="n"/>
      <c r="H16" s="134">
        <f>G16*0.25</f>
        <v/>
      </c>
      <c r="I16" s="133" t="n"/>
      <c r="J16" s="134">
        <f>I16*0.25</f>
        <v/>
      </c>
      <c r="K16" s="133" t="n"/>
      <c r="L16" s="134">
        <f>K16*0.25</f>
        <v/>
      </c>
      <c r="M16" s="133" t="n"/>
      <c r="N16" s="134">
        <f>M16*0.25</f>
        <v/>
      </c>
      <c r="O16" s="135">
        <f>SUM(G16,I16,K16,M16)</f>
        <v/>
      </c>
      <c r="P16" s="136">
        <f>SUM(N16,L16,J16,H16)</f>
        <v/>
      </c>
      <c r="Q16" s="117" t="n"/>
      <c r="R16" s="117" t="n"/>
      <c r="S16" s="117" t="n"/>
      <c r="T16" s="117" t="n"/>
      <c r="U16" s="117" t="n"/>
      <c r="V16" s="117" t="n"/>
      <c r="W16" s="117" t="n"/>
      <c r="X16" s="117" t="n"/>
      <c r="Y16" s="117" t="n"/>
      <c r="Z16" s="119" t="n"/>
    </row>
    <row r="17" customFormat="1" s="52">
      <c r="A17" s="69" t="n"/>
      <c r="B17" s="130" t="inlineStr">
        <is>
          <t>N° de Inspecciones Generales a las áreas de trabajo</t>
        </is>
      </c>
      <c r="C17" s="156" t="n"/>
      <c r="D17" s="156" t="n"/>
      <c r="E17" s="157" t="n"/>
      <c r="F17" s="132" t="inlineStr">
        <is>
          <t>Mensual</t>
        </is>
      </c>
      <c r="G17" s="133" t="n"/>
      <c r="H17" s="137" t="inlineStr">
        <is>
          <t>N/A</t>
        </is>
      </c>
      <c r="I17" s="133" t="n"/>
      <c r="J17" s="137" t="inlineStr">
        <is>
          <t>N/A</t>
        </is>
      </c>
      <c r="K17" s="133" t="n"/>
      <c r="L17" s="137" t="inlineStr">
        <is>
          <t>N/A</t>
        </is>
      </c>
      <c r="M17" s="133" t="n"/>
      <c r="N17" s="137" t="inlineStr">
        <is>
          <t>N/A</t>
        </is>
      </c>
      <c r="O17" s="135">
        <f>SUM(G17,I17,K17,M17)</f>
        <v/>
      </c>
      <c r="P17" s="136" t="inlineStr">
        <is>
          <t>N/A</t>
        </is>
      </c>
      <c r="Q17" s="117" t="n"/>
      <c r="R17" s="117" t="n"/>
      <c r="S17" s="117" t="n"/>
      <c r="T17" s="117" t="n"/>
      <c r="U17" s="117" t="n"/>
      <c r="V17" s="117" t="n"/>
      <c r="W17" s="117" t="n"/>
      <c r="X17" s="117" t="n"/>
      <c r="Y17" s="117" t="n"/>
      <c r="Z17" s="119" t="n"/>
    </row>
    <row r="18" customFormat="1" s="52">
      <c r="A18" s="69" t="n"/>
      <c r="B18" s="130" t="inlineStr">
        <is>
          <t>N° de Inspecciones a bodegas SUSPEL/RESPEL</t>
        </is>
      </c>
      <c r="C18" s="156" t="n"/>
      <c r="D18" s="156" t="n"/>
      <c r="E18" s="157" t="n"/>
      <c r="F18" s="132" t="inlineStr">
        <is>
          <t>Trimestral</t>
        </is>
      </c>
      <c r="G18" s="133" t="n"/>
      <c r="H18" s="137" t="inlineStr">
        <is>
          <t>N/A</t>
        </is>
      </c>
      <c r="I18" s="133" t="n"/>
      <c r="J18" s="137" t="inlineStr">
        <is>
          <t>N/A</t>
        </is>
      </c>
      <c r="K18" s="133" t="n"/>
      <c r="L18" s="137" t="inlineStr">
        <is>
          <t>N/A</t>
        </is>
      </c>
      <c r="M18" s="133" t="n"/>
      <c r="N18" s="137" t="inlineStr">
        <is>
          <t>N/A</t>
        </is>
      </c>
      <c r="O18" s="135">
        <f>SUM(G18,I18,K18,M18)</f>
        <v/>
      </c>
      <c r="P18" s="136" t="inlineStr">
        <is>
          <t>N/A</t>
        </is>
      </c>
      <c r="Q18" s="117" t="n"/>
      <c r="R18" s="117" t="n"/>
      <c r="S18" s="117" t="n"/>
      <c r="T18" s="117" t="n"/>
      <c r="U18" s="117" t="n"/>
      <c r="V18" s="117" t="n"/>
      <c r="W18" s="117" t="n"/>
      <c r="X18" s="117" t="n"/>
      <c r="Y18" s="117" t="n"/>
      <c r="Z18" s="119" t="n"/>
    </row>
    <row r="19" customFormat="1" s="52">
      <c r="A19" s="69" t="n"/>
      <c r="B19" s="130" t="inlineStr">
        <is>
          <t>N° de Inspecciones a maquinarias y equipo</t>
        </is>
      </c>
      <c r="C19" s="156" t="n"/>
      <c r="D19" s="156" t="n"/>
      <c r="E19" s="157" t="n"/>
      <c r="F19" s="132" t="inlineStr">
        <is>
          <t>Diaria</t>
        </is>
      </c>
      <c r="G19" s="133" t="n"/>
      <c r="H19" s="137" t="inlineStr">
        <is>
          <t>N/A</t>
        </is>
      </c>
      <c r="I19" s="133" t="n"/>
      <c r="J19" s="137" t="inlineStr">
        <is>
          <t>N/A</t>
        </is>
      </c>
      <c r="K19" s="133" t="n"/>
      <c r="L19" s="137" t="inlineStr">
        <is>
          <t>N/A</t>
        </is>
      </c>
      <c r="M19" s="133" t="n"/>
      <c r="N19" s="137" t="inlineStr">
        <is>
          <t>N/A</t>
        </is>
      </c>
      <c r="O19" s="135">
        <f>SUM(G19,I19,K19,M19)</f>
        <v/>
      </c>
      <c r="P19" s="136" t="inlineStr">
        <is>
          <t>N/A</t>
        </is>
      </c>
      <c r="Q19" s="117" t="n"/>
      <c r="R19" s="117" t="n"/>
      <c r="S19" s="117" t="n"/>
      <c r="T19" s="117" t="n"/>
      <c r="U19" s="117" t="n"/>
      <c r="V19" s="117" t="n"/>
      <c r="W19" s="117" t="n"/>
      <c r="X19" s="117" t="n"/>
      <c r="Y19" s="117" t="n"/>
      <c r="Z19" s="119" t="n"/>
    </row>
    <row r="20" customFormat="1" s="52">
      <c r="A20" s="69" t="n"/>
      <c r="B20" s="130" t="inlineStr">
        <is>
          <t>N° de Inspecciones a equipamiento de emergencia (extintores)</t>
        </is>
      </c>
      <c r="C20" s="156" t="n"/>
      <c r="D20" s="156" t="n"/>
      <c r="E20" s="157" t="n"/>
      <c r="F20" s="132" t="inlineStr">
        <is>
          <t>Mensual</t>
        </is>
      </c>
      <c r="G20" s="133" t="n"/>
      <c r="H20" s="137" t="inlineStr">
        <is>
          <t>N/A</t>
        </is>
      </c>
      <c r="I20" s="133" t="n"/>
      <c r="J20" s="137" t="inlineStr">
        <is>
          <t>N/A</t>
        </is>
      </c>
      <c r="K20" s="133" t="n"/>
      <c r="L20" s="137" t="inlineStr">
        <is>
          <t>N/A</t>
        </is>
      </c>
      <c r="M20" s="133" t="n"/>
      <c r="N20" s="137" t="inlineStr">
        <is>
          <t>N/A</t>
        </is>
      </c>
      <c r="O20" s="135">
        <f>SUM(G20,I20,K20,M20)</f>
        <v/>
      </c>
      <c r="P20" s="136" t="inlineStr">
        <is>
          <t>N/A</t>
        </is>
      </c>
      <c r="Q20" s="117" t="n"/>
      <c r="R20" s="117" t="n"/>
      <c r="S20" s="117" t="n"/>
      <c r="T20" s="117" t="n"/>
      <c r="U20" s="117" t="n"/>
      <c r="V20" s="117" t="n"/>
      <c r="W20" s="117" t="n"/>
      <c r="X20" s="117" t="n"/>
      <c r="Y20" s="117" t="n"/>
      <c r="Z20" s="119" t="n"/>
    </row>
    <row r="21" customFormat="1" s="52">
      <c r="A21" s="69" t="n"/>
      <c r="B21" s="130" t="inlineStr">
        <is>
          <t>N° de Inspecciones a señalética de obra</t>
        </is>
      </c>
      <c r="C21" s="156" t="n"/>
      <c r="D21" s="156" t="n"/>
      <c r="E21" s="157" t="n"/>
      <c r="F21" s="132" t="inlineStr">
        <is>
          <t>Trimestral</t>
        </is>
      </c>
      <c r="G21" s="133" t="n"/>
      <c r="H21" s="137" t="inlineStr">
        <is>
          <t>N/A</t>
        </is>
      </c>
      <c r="I21" s="133" t="n"/>
      <c r="J21" s="137" t="inlineStr">
        <is>
          <t>N/A</t>
        </is>
      </c>
      <c r="K21" s="133" t="n"/>
      <c r="L21" s="137" t="inlineStr">
        <is>
          <t>N/A</t>
        </is>
      </c>
      <c r="M21" s="133" t="n"/>
      <c r="N21" s="137" t="inlineStr">
        <is>
          <t>N/A</t>
        </is>
      </c>
      <c r="O21" s="135">
        <f>SUM(G21,I21,K21,M21)</f>
        <v/>
      </c>
      <c r="P21" s="136" t="inlineStr">
        <is>
          <t>N/A</t>
        </is>
      </c>
      <c r="Q21" s="117" t="n"/>
      <c r="R21" s="117" t="n"/>
      <c r="S21" s="117" t="n"/>
      <c r="T21" s="117" t="n"/>
      <c r="U21" s="117" t="n"/>
      <c r="V21" s="117" t="n"/>
      <c r="W21" s="117" t="n"/>
      <c r="X21" s="117" t="n"/>
      <c r="Y21" s="117" t="n"/>
      <c r="Z21" s="119" t="n"/>
    </row>
    <row r="22" customFormat="1" s="52">
      <c r="A22" s="69" t="n"/>
      <c r="B22" s="130" t="inlineStr">
        <is>
          <t>Revisión de Documentación de maquinaria</t>
        </is>
      </c>
      <c r="C22" s="156" t="n"/>
      <c r="D22" s="156" t="n"/>
      <c r="E22" s="157" t="n"/>
      <c r="F22" s="132" t="inlineStr">
        <is>
          <t>Mensual</t>
        </is>
      </c>
      <c r="G22" s="133" t="n">
        <v>0</v>
      </c>
      <c r="H22" s="137" t="inlineStr">
        <is>
          <t>N/A</t>
        </is>
      </c>
      <c r="I22" s="133" t="n">
        <v>0</v>
      </c>
      <c r="J22" s="137" t="inlineStr">
        <is>
          <t>N/A</t>
        </is>
      </c>
      <c r="K22" s="133" t="n">
        <v>0</v>
      </c>
      <c r="L22" s="137" t="inlineStr">
        <is>
          <t>N/A</t>
        </is>
      </c>
      <c r="M22" s="133" t="n">
        <v>0</v>
      </c>
      <c r="N22" s="137" t="inlineStr">
        <is>
          <t>N/A</t>
        </is>
      </c>
      <c r="O22" s="135">
        <f>SUM(G22,I22,K22,M22)</f>
        <v/>
      </c>
      <c r="P22" s="136" t="inlineStr">
        <is>
          <t>N/A</t>
        </is>
      </c>
      <c r="Q22" s="117" t="n"/>
      <c r="R22" s="117" t="n"/>
      <c r="S22" s="117" t="n"/>
      <c r="T22" s="117" t="n"/>
      <c r="U22" s="117" t="n"/>
      <c r="V22" s="117" t="n"/>
      <c r="W22" s="117" t="n"/>
      <c r="X22" s="117" t="n"/>
      <c r="Y22" s="117" t="n"/>
      <c r="Z22" s="119" t="n"/>
    </row>
    <row r="23" customFormat="1" s="52">
      <c r="A23" s="69" t="n"/>
      <c r="B23" s="130" t="inlineStr">
        <is>
          <t>Inspección de medidas de seguridad en excavaciones</t>
        </is>
      </c>
      <c r="C23" s="156" t="n"/>
      <c r="D23" s="156" t="n"/>
      <c r="E23" s="157" t="n"/>
      <c r="F23" s="132" t="inlineStr">
        <is>
          <t>Mensual</t>
        </is>
      </c>
      <c r="G23" s="133" t="n"/>
      <c r="H23" s="137" t="inlineStr">
        <is>
          <t>N/A</t>
        </is>
      </c>
      <c r="I23" s="133" t="n"/>
      <c r="J23" s="137" t="inlineStr">
        <is>
          <t>N/A</t>
        </is>
      </c>
      <c r="K23" s="133" t="n"/>
      <c r="L23" s="137" t="inlineStr">
        <is>
          <t>N/A</t>
        </is>
      </c>
      <c r="M23" s="133" t="n"/>
      <c r="N23" s="137" t="inlineStr">
        <is>
          <t>N/A</t>
        </is>
      </c>
      <c r="O23" s="135">
        <f>SUM(G23,I23,K23,M23)</f>
        <v/>
      </c>
      <c r="P23" s="136" t="inlineStr">
        <is>
          <t>N/A</t>
        </is>
      </c>
      <c r="Q23" s="117" t="n"/>
      <c r="R23" s="117" t="n"/>
      <c r="S23" s="117" t="n"/>
      <c r="T23" s="117" t="n"/>
      <c r="U23" s="117" t="n"/>
      <c r="V23" s="117" t="n"/>
      <c r="W23" s="117" t="n"/>
      <c r="X23" s="117" t="n"/>
      <c r="Y23" s="117" t="n"/>
      <c r="Z23" s="119" t="n"/>
    </row>
    <row r="24" customFormat="1" s="52">
      <c r="A24" s="69" t="n"/>
      <c r="B24" s="130" t="inlineStr">
        <is>
          <t>Inspección a medidas de seguridad en trabajo en altura</t>
        </is>
      </c>
      <c r="C24" s="156" t="n"/>
      <c r="D24" s="156" t="n"/>
      <c r="E24" s="157" t="n"/>
      <c r="F24" s="132" t="inlineStr">
        <is>
          <t>Semanal</t>
        </is>
      </c>
      <c r="G24" s="133" t="n"/>
      <c r="H24" s="137" t="inlineStr">
        <is>
          <t>N/A</t>
        </is>
      </c>
      <c r="I24" s="133" t="n"/>
      <c r="J24" s="137" t="inlineStr">
        <is>
          <t>N/A</t>
        </is>
      </c>
      <c r="K24" s="133" t="n"/>
      <c r="L24" s="137" t="inlineStr">
        <is>
          <t>N/A</t>
        </is>
      </c>
      <c r="M24" s="133" t="n"/>
      <c r="N24" s="137" t="inlineStr">
        <is>
          <t>N/A</t>
        </is>
      </c>
      <c r="O24" s="135">
        <f>SUM(G24,I24,K24,M24)</f>
        <v/>
      </c>
      <c r="P24" s="136" t="inlineStr">
        <is>
          <t>N/A</t>
        </is>
      </c>
      <c r="Q24" s="117" t="n"/>
      <c r="R24" s="117" t="n"/>
      <c r="S24" s="117" t="n"/>
      <c r="T24" s="117" t="n"/>
      <c r="U24" s="117" t="n"/>
      <c r="V24" s="117" t="n"/>
      <c r="W24" s="117" t="n"/>
      <c r="X24" s="117" t="n"/>
      <c r="Y24" s="117" t="n"/>
      <c r="Z24" s="119" t="n"/>
    </row>
    <row r="25" customFormat="1" s="52">
      <c r="A25" s="69" t="n"/>
      <c r="B25" s="130" t="inlineStr">
        <is>
          <t>Inspección de Medidas de Seguridad para trabajo en caliente.</t>
        </is>
      </c>
      <c r="C25" s="156" t="n"/>
      <c r="D25" s="156" t="n"/>
      <c r="E25" s="157" t="n"/>
      <c r="F25" s="132" t="inlineStr">
        <is>
          <t>Semanal</t>
        </is>
      </c>
      <c r="G25" s="133" t="n"/>
      <c r="H25" s="137" t="inlineStr">
        <is>
          <t>N/A</t>
        </is>
      </c>
      <c r="I25" s="133" t="n"/>
      <c r="J25" s="137" t="inlineStr">
        <is>
          <t>N/A</t>
        </is>
      </c>
      <c r="K25" s="133" t="n"/>
      <c r="L25" s="137" t="inlineStr">
        <is>
          <t>N/A</t>
        </is>
      </c>
      <c r="M25" s="133" t="n"/>
      <c r="N25" s="137" t="inlineStr">
        <is>
          <t>N/A</t>
        </is>
      </c>
      <c r="O25" s="135">
        <f>SUM(G25,I25,K25,M25)</f>
        <v/>
      </c>
      <c r="P25" s="136" t="inlineStr">
        <is>
          <t>N/A</t>
        </is>
      </c>
      <c r="Q25" s="117" t="n"/>
      <c r="R25" s="117" t="n"/>
      <c r="S25" s="117" t="n"/>
      <c r="T25" s="117" t="n"/>
      <c r="U25" s="117" t="n"/>
      <c r="V25" s="117" t="n"/>
      <c r="W25" s="117" t="n"/>
      <c r="X25" s="117" t="n"/>
      <c r="Y25" s="117" t="n"/>
      <c r="Z25" s="119" t="n"/>
    </row>
    <row r="26" customFormat="1" s="52">
      <c r="A26" s="69" t="n"/>
      <c r="B26" s="138" t="inlineStr">
        <is>
          <t>Inspección de Medidas de Seguridad para trabajos en espacios confinados.</t>
        </is>
      </c>
      <c r="C26" s="156" t="n"/>
      <c r="D26" s="156" t="n"/>
      <c r="E26" s="157" t="n"/>
      <c r="F26" s="139" t="inlineStr">
        <is>
          <t>Diaria</t>
        </is>
      </c>
      <c r="G26" s="140" t="n">
        <v>0</v>
      </c>
      <c r="H26" s="137" t="inlineStr">
        <is>
          <t>N/A</t>
        </is>
      </c>
      <c r="I26" s="140" t="n">
        <v>0</v>
      </c>
      <c r="J26" s="137" t="inlineStr">
        <is>
          <t>N/A</t>
        </is>
      </c>
      <c r="K26" s="140" t="n">
        <v>0</v>
      </c>
      <c r="L26" s="137" t="inlineStr">
        <is>
          <t>N/A</t>
        </is>
      </c>
      <c r="M26" s="133" t="n">
        <v>0</v>
      </c>
      <c r="N26" s="137" t="inlineStr">
        <is>
          <t>N/A</t>
        </is>
      </c>
      <c r="O26" s="135">
        <f>SUM(G26,I26,K26,M26)</f>
        <v/>
      </c>
      <c r="P26" s="136" t="inlineStr">
        <is>
          <t>N/A</t>
        </is>
      </c>
      <c r="Q26" s="117" t="n"/>
      <c r="R26" s="117" t="n"/>
      <c r="S26" s="117" t="n"/>
      <c r="T26" s="117" t="n"/>
      <c r="U26" s="117" t="n"/>
      <c r="V26" s="117" t="n"/>
      <c r="W26" s="117" t="n"/>
      <c r="X26" s="117" t="n"/>
      <c r="Y26" s="117" t="n"/>
      <c r="Z26" s="119" t="n"/>
    </row>
    <row r="27" customFormat="1" s="52">
      <c r="A27" s="69" t="n"/>
      <c r="B27" s="130" t="inlineStr">
        <is>
          <t>Inspección de Herramientas Eléctricas</t>
        </is>
      </c>
      <c r="C27" s="156" t="n"/>
      <c r="D27" s="156" t="n"/>
      <c r="E27" s="157" t="n"/>
      <c r="F27" s="132" t="inlineStr">
        <is>
          <t>Semanal</t>
        </is>
      </c>
      <c r="G27" s="133" t="n"/>
      <c r="H27" s="137" t="inlineStr">
        <is>
          <t>N/A</t>
        </is>
      </c>
      <c r="I27" s="133" t="n"/>
      <c r="J27" s="137" t="inlineStr">
        <is>
          <t>N/A</t>
        </is>
      </c>
      <c r="K27" s="133" t="n"/>
      <c r="L27" s="137" t="inlineStr">
        <is>
          <t>N/A</t>
        </is>
      </c>
      <c r="M27" s="133" t="n"/>
      <c r="N27" s="137" t="inlineStr">
        <is>
          <t>N/A</t>
        </is>
      </c>
      <c r="O27" s="135">
        <f>SUM(G27,I27,K27,M27)</f>
        <v/>
      </c>
      <c r="P27" s="136" t="inlineStr">
        <is>
          <t>N/A</t>
        </is>
      </c>
      <c r="Q27" s="117" t="n"/>
      <c r="R27" s="117" t="n"/>
      <c r="S27" s="117" t="n"/>
      <c r="T27" s="117" t="n"/>
      <c r="U27" s="117" t="n"/>
      <c r="V27" s="117" t="n"/>
      <c r="W27" s="117" t="n"/>
      <c r="X27" s="117" t="n"/>
      <c r="Y27" s="117" t="n"/>
      <c r="Z27" s="119" t="n"/>
    </row>
    <row r="28" ht="14.4" customFormat="1" customHeight="1" s="52" thickBot="1">
      <c r="A28" s="69" t="n"/>
      <c r="B28" s="130" t="inlineStr">
        <is>
          <t>Inspección de Andamios</t>
        </is>
      </c>
      <c r="C28" s="156" t="n"/>
      <c r="D28" s="156" t="n"/>
      <c r="E28" s="157" t="n"/>
      <c r="F28" s="132" t="inlineStr">
        <is>
          <t>Diaria</t>
        </is>
      </c>
      <c r="G28" s="133" t="n"/>
      <c r="H28" s="137" t="inlineStr">
        <is>
          <t>N/A</t>
        </is>
      </c>
      <c r="I28" s="133" t="n"/>
      <c r="J28" s="137" t="inlineStr">
        <is>
          <t>N/A</t>
        </is>
      </c>
      <c r="K28" s="133" t="n"/>
      <c r="L28" s="137" t="inlineStr">
        <is>
          <t>N/A</t>
        </is>
      </c>
      <c r="M28" s="133" t="n"/>
      <c r="N28" s="137" t="inlineStr">
        <is>
          <t>N/A</t>
        </is>
      </c>
      <c r="O28" s="135">
        <f>SUM(G28,I28,K28,M28)</f>
        <v/>
      </c>
      <c r="P28" s="136" t="inlineStr">
        <is>
          <t>N/A</t>
        </is>
      </c>
      <c r="Q28" s="117" t="n"/>
      <c r="R28" s="117" t="n"/>
      <c r="S28" s="117" t="n"/>
      <c r="T28" s="117" t="n"/>
      <c r="U28" s="117" t="n"/>
      <c r="V28" s="117" t="n"/>
      <c r="W28" s="117" t="n"/>
      <c r="X28" s="117" t="n"/>
      <c r="Y28" s="117" t="n"/>
      <c r="Z28" s="119" t="n"/>
    </row>
    <row r="29" ht="14.4" customFormat="1" customHeight="1" s="52" thickBot="1">
      <c r="A29" s="69" t="n"/>
      <c r="B29" s="141" t="inlineStr">
        <is>
          <t>Cantidad de Trabajadores — Charlas Generales</t>
        </is>
      </c>
      <c r="C29" s="156" t="n"/>
      <c r="D29" s="156" t="n"/>
      <c r="E29" s="157" t="n"/>
      <c r="F29" s="143" t="n"/>
      <c r="G29" s="143" t="n"/>
      <c r="H29" s="144" t="n"/>
      <c r="I29" s="143" t="n"/>
      <c r="J29" s="144" t="n"/>
      <c r="K29" s="143" t="n"/>
      <c r="L29" s="144" t="n"/>
      <c r="M29" s="143" t="n"/>
      <c r="N29" s="144" t="n"/>
      <c r="O29" s="145" t="n"/>
      <c r="P29" s="146" t="n"/>
      <c r="Q29" s="117" t="n"/>
      <c r="R29" s="117" t="n"/>
      <c r="S29" s="117" t="n"/>
      <c r="T29" s="117" t="n"/>
      <c r="U29" s="117" t="n"/>
      <c r="V29" s="117" t="n"/>
      <c r="W29" s="117" t="n"/>
      <c r="X29" s="117" t="n"/>
      <c r="Y29" s="117" t="n"/>
      <c r="Z29" s="117" t="n"/>
    </row>
    <row r="30" customFormat="1" s="52">
      <c r="A30" s="69" t="n"/>
      <c r="B30" s="141" t="inlineStr">
        <is>
          <t>Cantidad de Trabajadores — Charlas Integrales</t>
        </is>
      </c>
      <c r="C30" s="156" t="n"/>
      <c r="D30" s="156" t="n"/>
      <c r="E30" s="157" t="n"/>
      <c r="F30" s="142" t="n"/>
      <c r="G30" s="143" t="n"/>
      <c r="H30" s="144" t="n"/>
      <c r="I30" s="143" t="n"/>
      <c r="J30" s="144" t="n"/>
      <c r="K30" s="143" t="n"/>
      <c r="L30" s="144" t="n"/>
      <c r="M30" s="143" t="n"/>
      <c r="N30" s="144" t="n"/>
      <c r="O30" s="145" t="n"/>
      <c r="P30" s="146" t="n"/>
      <c r="Q30" s="117" t="n"/>
      <c r="R30" s="117" t="n"/>
      <c r="S30" s="117" t="n"/>
      <c r="T30" s="117" t="n"/>
      <c r="U30" s="117" t="n"/>
      <c r="V30" s="117" t="n"/>
      <c r="W30" s="117" t="n"/>
      <c r="X30" s="117" t="n"/>
      <c r="Y30" s="117" t="n"/>
      <c r="Z30" s="117" t="n"/>
    </row>
    <row r="31" customFormat="1" s="52">
      <c r="A31" s="69" t="n"/>
      <c r="B31" s="147" t="inlineStr">
        <is>
          <t>CPHS — Comité Paritario de Higiene y Seguridad</t>
        </is>
      </c>
      <c r="C31" s="158" t="n"/>
      <c r="D31" s="158" t="n"/>
      <c r="E31" s="159" t="n"/>
      <c r="F31" s="149" t="inlineStr">
        <is>
          <t>—</t>
        </is>
      </c>
      <c r="G31" s="150" t="n"/>
      <c r="H31" s="151" t="n"/>
      <c r="I31" s="150" t="n"/>
      <c r="J31" s="151" t="n"/>
      <c r="K31" s="150" t="n"/>
      <c r="L31" s="151" t="n"/>
      <c r="M31" s="150" t="n"/>
      <c r="N31" s="151" t="n"/>
      <c r="O31" s="152" t="n"/>
      <c r="P31" s="153" t="n"/>
      <c r="Q31" s="117" t="n"/>
      <c r="R31" s="117" t="n"/>
      <c r="S31" s="117" t="n"/>
      <c r="T31" s="117" t="n"/>
      <c r="U31" s="117" t="n"/>
      <c r="V31" s="117" t="n"/>
      <c r="W31" s="117" t="n"/>
      <c r="X31" s="117" t="n"/>
      <c r="Y31" s="117" t="n"/>
      <c r="Z31" s="117" t="n"/>
    </row>
    <row r="32" customFormat="1" s="52">
      <c r="A32" s="69" t="n"/>
      <c r="B32" s="52" t="n"/>
      <c r="O32" s="69" t="n"/>
      <c r="Q32" s="117" t="n"/>
      <c r="R32" s="117" t="n"/>
      <c r="S32" s="117" t="n"/>
      <c r="T32" s="117" t="n"/>
      <c r="U32" s="117" t="n"/>
      <c r="V32" s="117" t="n"/>
      <c r="W32" s="117" t="n"/>
      <c r="X32" s="117" t="n"/>
      <c r="Y32" s="117" t="n"/>
      <c r="Z32" s="117" t="n"/>
    </row>
    <row r="33" customFormat="1" s="52">
      <c r="A33" s="69" t="n"/>
      <c r="B33" s="52" t="n"/>
      <c r="O33" s="69" t="n"/>
      <c r="Q33" s="117" t="n"/>
      <c r="R33" s="117" t="n"/>
      <c r="S33" s="117" t="n"/>
      <c r="T33" s="117" t="n"/>
      <c r="U33" s="117" t="n"/>
      <c r="V33" s="117" t="n"/>
      <c r="W33" s="117" t="n"/>
      <c r="X33" s="117" t="n"/>
      <c r="Y33" s="117" t="n"/>
      <c r="Z33" s="117" t="n"/>
    </row>
    <row r="34" customFormat="1" s="52">
      <c r="A34" s="69" t="n"/>
      <c r="B34" s="52" t="n"/>
      <c r="O34" s="69" t="n"/>
      <c r="Q34" s="117" t="n"/>
      <c r="R34" s="117" t="n"/>
      <c r="S34" s="117" t="n"/>
      <c r="T34" s="117" t="n"/>
      <c r="U34" s="117" t="n"/>
      <c r="V34" s="117" t="n"/>
      <c r="W34" s="117" t="n"/>
      <c r="X34" s="117" t="n"/>
      <c r="Y34" s="117" t="n"/>
      <c r="Z34" s="117" t="n"/>
    </row>
    <row r="35" customFormat="1" s="52">
      <c r="A35" s="69" t="n"/>
      <c r="B35" s="52" t="n"/>
      <c r="O35" s="69" t="n"/>
      <c r="Q35" s="117" t="n"/>
      <c r="R35" s="117" t="n"/>
      <c r="S35" s="117" t="n"/>
      <c r="T35" s="117" t="n"/>
      <c r="U35" s="117" t="n"/>
      <c r="V35" s="117" t="n"/>
      <c r="W35" s="117" t="n"/>
      <c r="X35" s="117" t="n"/>
      <c r="Y35" s="117" t="n"/>
      <c r="Z35" s="117" t="n"/>
    </row>
    <row r="36" customFormat="1" s="52">
      <c r="A36" s="69" t="n"/>
      <c r="B36" s="52" t="n"/>
      <c r="O36" s="69" t="n"/>
      <c r="Q36" s="117" t="n"/>
      <c r="R36" s="117" t="n"/>
      <c r="S36" s="117" t="n"/>
      <c r="T36" s="117" t="n"/>
      <c r="U36" s="117" t="n"/>
      <c r="V36" s="117" t="n"/>
      <c r="W36" s="117" t="n"/>
      <c r="X36" s="117" t="n"/>
      <c r="Y36" s="117" t="n"/>
      <c r="Z36" s="117" t="n"/>
    </row>
  </sheetData>
  <mergeCells count="32">
    <mergeCell ref="E2:P5"/>
    <mergeCell ref="B9:E9"/>
    <mergeCell ref="B30:E30"/>
    <mergeCell ref="B15:E15"/>
    <mergeCell ref="B33:E33"/>
    <mergeCell ref="B24:E24"/>
    <mergeCell ref="B8:P8"/>
    <mergeCell ref="B20:E20"/>
    <mergeCell ref="B36:E36"/>
    <mergeCell ref="B32:E32"/>
    <mergeCell ref="B26:E26"/>
    <mergeCell ref="B35:E35"/>
    <mergeCell ref="B16:E16"/>
    <mergeCell ref="B25:E25"/>
    <mergeCell ref="B22:E22"/>
    <mergeCell ref="B31:E31"/>
    <mergeCell ref="B18:E18"/>
    <mergeCell ref="B27:E27"/>
    <mergeCell ref="B2:D5"/>
    <mergeCell ref="B12:E12"/>
    <mergeCell ref="B21:E21"/>
    <mergeCell ref="B11:E11"/>
    <mergeCell ref="B14:E14"/>
    <mergeCell ref="B17:E17"/>
    <mergeCell ref="B23:E23"/>
    <mergeCell ref="B13:E13"/>
    <mergeCell ref="B6:P7"/>
    <mergeCell ref="B29:E29"/>
    <mergeCell ref="B19:E19"/>
    <mergeCell ref="B34:E34"/>
    <mergeCell ref="B10:E10"/>
    <mergeCell ref="B28:E28"/>
  </mergeCells>
  <pageMargins left="0.25" right="0.25" top="0.75" bottom="0.75" header="0.3" footer="0.3"/>
  <pageSetup orientation="landscape" paperSize="8" scale="7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Carla Gaete</dc:creator>
  <dcterms:created xsi:type="dcterms:W3CDTF">2026-02-04T18:13:55Z</dcterms:created>
  <dcterms:modified xsi:type="dcterms:W3CDTF">2026-06-07T00:22:14Z</dcterms:modified>
  <cp:lastModifiedBy>bismarck Suazo</cp:lastModifiedBy>
  <cp:lastPrinted>2026-02-09T04:36:13Z</cp:lastPrinted>
</cp:coreProperties>
</file>