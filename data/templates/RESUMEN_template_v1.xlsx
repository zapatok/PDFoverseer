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</patternFill>
    </fill>
  </fills>
  <borders count="5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/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54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  <xf numFmtId="0" fontId="0" fillId="0" borderId="44" pivotButton="0" quotePrefix="0" xfId="0"/>
    <xf numFmtId="0" fontId="4" fillId="0" borderId="44" pivotButton="0" quotePrefix="0" xfId="0"/>
    <xf numFmtId="0" fontId="4" fillId="0" borderId="44" applyAlignment="1" pivotButton="0" quotePrefix="0" xfId="0">
      <alignment horizontal="left"/>
    </xf>
    <xf numFmtId="0" fontId="1" fillId="0" borderId="43" pivotButton="0" quotePrefix="0" xfId="0"/>
    <xf numFmtId="0" fontId="1" fillId="0" borderId="36" pivotButton="0" quotePrefix="0" xfId="0"/>
    <xf numFmtId="0" fontId="6" fillId="2" borderId="45" applyAlignment="1" pivotButton="0" quotePrefix="0" xfId="0">
      <alignment horizontal="center" vertical="center"/>
    </xf>
    <xf numFmtId="0" fontId="0" fillId="0" borderId="46" pivotButton="0" quotePrefix="0" xfId="0"/>
    <xf numFmtId="0" fontId="6" fillId="2" borderId="46" applyAlignment="1" pivotButton="0" quotePrefix="0" xfId="0">
      <alignment horizontal="center" vertical="center" wrapText="1"/>
    </xf>
    <xf numFmtId="0" fontId="6" fillId="3" borderId="46" applyAlignment="1" pivotButton="0" quotePrefix="0" xfId="0">
      <alignment horizontal="center" vertical="center" wrapText="1"/>
    </xf>
    <xf numFmtId="0" fontId="6" fillId="4" borderId="46" applyAlignment="1" pivotButton="0" quotePrefix="0" xfId="0">
      <alignment horizontal="center" vertical="center" wrapText="1"/>
    </xf>
    <xf numFmtId="0" fontId="6" fillId="6" borderId="46" applyAlignment="1" pivotButton="0" quotePrefix="0" xfId="0">
      <alignment horizontal="center" vertical="center" wrapText="1"/>
    </xf>
    <xf numFmtId="0" fontId="6" fillId="5" borderId="46" applyAlignment="1" pivotButton="0" quotePrefix="0" xfId="0">
      <alignment horizontal="center" vertical="center" wrapText="1"/>
    </xf>
    <xf numFmtId="0" fontId="6" fillId="2" borderId="47" applyAlignment="1" pivotButton="0" quotePrefix="0" xfId="0">
      <alignment horizontal="center" vertical="center" wrapText="1"/>
    </xf>
    <xf numFmtId="0" fontId="4" fillId="0" borderId="48" applyAlignment="1" pivotButton="0" quotePrefix="0" xfId="0">
      <alignment horizontal="left"/>
    </xf>
    <xf numFmtId="0" fontId="0" fillId="0" borderId="49" pivotButton="0" quotePrefix="0" xfId="0"/>
    <xf numFmtId="0" fontId="2" fillId="0" borderId="49" applyAlignment="1" pivotButton="0" quotePrefix="0" xfId="0">
      <alignment horizontal="center"/>
    </xf>
    <xf numFmtId="3" fontId="3" fillId="0" borderId="49" applyAlignment="1" pivotButton="0" quotePrefix="0" xfId="0">
      <alignment horizontal="center"/>
    </xf>
    <xf numFmtId="4" fontId="3" fillId="0" borderId="49" applyAlignment="1" pivotButton="0" quotePrefix="0" xfId="0">
      <alignment horizontal="center"/>
    </xf>
    <xf numFmtId="3" fontId="6" fillId="2" borderId="49" applyAlignment="1" pivotButton="0" quotePrefix="0" xfId="0">
      <alignment horizontal="center"/>
    </xf>
    <xf numFmtId="4" fontId="6" fillId="2" borderId="50" applyAlignment="1" pivotButton="0" quotePrefix="0" xfId="0">
      <alignment horizontal="center"/>
    </xf>
    <xf numFmtId="4" fontId="4" fillId="0" borderId="49" applyAlignment="1" pivotButton="0" quotePrefix="0" xfId="0">
      <alignment horizontal="center"/>
    </xf>
    <xf numFmtId="0" fontId="4" fillId="0" borderId="48" applyAlignment="1" pivotButton="0" quotePrefix="0" xfId="0">
      <alignment horizontal="left" wrapText="1"/>
    </xf>
    <xf numFmtId="0" fontId="2" fillId="0" borderId="49" applyAlignment="1" pivotButton="0" quotePrefix="0" xfId="0">
      <alignment horizontal="center" wrapText="1"/>
    </xf>
    <xf numFmtId="3" fontId="3" fillId="0" borderId="49" applyAlignment="1" pivotButton="0" quotePrefix="0" xfId="0">
      <alignment horizontal="center" wrapText="1"/>
    </xf>
    <xf numFmtId="0" fontId="7" fillId="7" borderId="48" applyAlignment="1" pivotButton="0" quotePrefix="0" xfId="0">
      <alignment horizontal="left" vertical="center"/>
    </xf>
    <xf numFmtId="0" fontId="7" fillId="7" borderId="49" pivotButton="0" quotePrefix="0" xfId="0"/>
    <xf numFmtId="0" fontId="7" fillId="7" borderId="49" applyAlignment="1" pivotButton="0" quotePrefix="0" xfId="0">
      <alignment horizontal="left"/>
    </xf>
    <xf numFmtId="3" fontId="7" fillId="7" borderId="49" applyAlignment="1" pivotButton="0" quotePrefix="0" xfId="0">
      <alignment horizontal="center" vertical="center"/>
    </xf>
    <xf numFmtId="0" fontId="4" fillId="0" borderId="49" applyAlignment="1" pivotButton="0" quotePrefix="0" xfId="0">
      <alignment horizontal="center"/>
    </xf>
    <xf numFmtId="0" fontId="0" fillId="0" borderId="50" pivotButton="0" quotePrefix="0" xfId="0"/>
    <xf numFmtId="0" fontId="4" fillId="0" borderId="51" applyAlignment="1" pivotButton="0" quotePrefix="0" xfId="0">
      <alignment horizontal="left"/>
    </xf>
    <xf numFmtId="0" fontId="0" fillId="0" borderId="52" pivotButton="0" quotePrefix="0" xfId="0"/>
    <xf numFmtId="0" fontId="2" fillId="0" borderId="52" applyAlignment="1" pivotButton="0" quotePrefix="0" xfId="0">
      <alignment horizontal="center"/>
    </xf>
    <xf numFmtId="3" fontId="3" fillId="0" borderId="52" applyAlignment="1" pivotButton="0" quotePrefix="0" xfId="0">
      <alignment horizontal="center"/>
    </xf>
    <xf numFmtId="4" fontId="4" fillId="0" borderId="52" applyAlignment="1" pivotButton="0" quotePrefix="0" xfId="0">
      <alignment horizontal="center"/>
    </xf>
    <xf numFmtId="3" fontId="6" fillId="2" borderId="52" applyAlignment="1" pivotButton="0" quotePrefix="0" xfId="0">
      <alignment horizontal="center"/>
    </xf>
    <xf numFmtId="4" fontId="6" fillId="2" borderId="53" applyAlignment="1" pivotButton="0" quotePrefix="0" xfId="0">
      <alignment horizontal="center"/>
    </xf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95250</colOff>
      <row>1</row>
      <rowOff>123825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>
      <c r="Q1" s="117" t="n"/>
      <c r="R1" s="117" t="n"/>
      <c r="S1" s="117" t="n"/>
      <c r="T1" s="117" t="n"/>
      <c r="U1" s="117" t="n"/>
      <c r="V1" s="117" t="n"/>
      <c r="W1" s="117" t="n"/>
      <c r="X1" s="117" t="n"/>
      <c r="Y1" s="117" t="n"/>
      <c r="Z1" s="117" t="n"/>
    </row>
    <row r="2" ht="21.75" customHeight="1">
      <c r="B2" s="93" t="n"/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6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</row>
    <row r="3" ht="21.75" customHeight="1">
      <c r="B3" s="97" t="n"/>
      <c r="E3" s="97" t="n"/>
      <c r="P3" s="98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</row>
    <row r="4" ht="21.75" customHeight="1">
      <c r="B4" s="97" t="n"/>
      <c r="E4" s="97" t="n"/>
      <c r="P4" s="98" t="n"/>
      <c r="Q4" s="117" t="n"/>
      <c r="R4" s="117" t="n"/>
      <c r="S4" s="117" t="n"/>
      <c r="T4" s="117" t="n"/>
      <c r="U4" s="117" t="n"/>
      <c r="V4" s="117" t="n"/>
      <c r="W4" s="117" t="n"/>
      <c r="X4" s="117" t="n"/>
      <c r="Y4" s="117" t="n"/>
      <c r="Z4" s="117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1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103" t="n"/>
      <c r="Q6" s="117" t="n"/>
      <c r="R6" s="117" t="n"/>
      <c r="S6" s="117" t="n"/>
      <c r="T6" s="117" t="n"/>
      <c r="U6" s="118" t="n"/>
      <c r="V6" s="118" t="n"/>
      <c r="W6" s="118" t="n"/>
      <c r="X6" s="118" t="n"/>
      <c r="Y6" s="118" t="n"/>
      <c r="Z6" s="118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4" t="n"/>
      <c r="Q7" s="117" t="n"/>
      <c r="R7" s="117" t="n"/>
      <c r="S7" s="117" t="n"/>
      <c r="T7" s="117" t="n"/>
      <c r="U7" s="118" t="n"/>
      <c r="V7" s="118" t="n"/>
      <c r="W7" s="118" t="n"/>
      <c r="X7" s="118" t="n"/>
      <c r="Y7" s="118" t="n"/>
      <c r="Z7" s="118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8" t="n"/>
    </row>
    <row r="9" ht="28.2" customHeight="1" thickBot="1">
      <c r="B9" s="122" t="inlineStr">
        <is>
          <t>Cumplimiento Operacional</t>
        </is>
      </c>
      <c r="C9" s="123" t="n"/>
      <c r="D9" s="123" t="n"/>
      <c r="E9" s="123" t="n"/>
      <c r="F9" s="124" t="inlineStr">
        <is>
          <t xml:space="preserve">Periodicidad de acuerdo a Plan de Prevención </t>
        </is>
      </c>
      <c r="G9" s="125" t="inlineStr">
        <is>
          <t>Cantidad Realizada
LOS LAGOS</t>
        </is>
      </c>
      <c r="H9" s="125" t="inlineStr">
        <is>
          <t>HH Capacitación 
LOS LAGOS</t>
        </is>
      </c>
      <c r="I9" s="126" t="inlineStr">
        <is>
          <t>Cantidad Realizada
LA UNIÓN</t>
        </is>
      </c>
      <c r="J9" s="126" t="inlineStr">
        <is>
          <t>HH Capacitación 
LA UNIÓN</t>
        </is>
      </c>
      <c r="K9" s="127" t="inlineStr">
        <is>
          <t>Cantidad Realizada
RÍO BUENO</t>
        </is>
      </c>
      <c r="L9" s="127" t="inlineStr">
        <is>
          <t>HH Capacitación 
RÍO BUENO</t>
        </is>
      </c>
      <c r="M9" s="128" t="inlineStr">
        <is>
          <t>Cantidad Realizada
PUERTO VARAS</t>
        </is>
      </c>
      <c r="N9" s="128" t="inlineStr">
        <is>
          <t>HH Capacitación 
PUERTO VARAS</t>
        </is>
      </c>
      <c r="O9" s="124" t="inlineStr">
        <is>
          <t>TOTAL
Cantidad Realizada</t>
        </is>
      </c>
      <c r="P9" s="129" t="inlineStr">
        <is>
          <t>TOTAL 
HH Capacitación</t>
        </is>
      </c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8" t="n"/>
    </row>
    <row r="10" customFormat="1" s="52">
      <c r="A10" s="69" t="n"/>
      <c r="B10" s="130" t="inlineStr">
        <is>
          <t>N° de Reuniones de Prevención de Riesgos</t>
        </is>
      </c>
      <c r="C10" s="131" t="n"/>
      <c r="D10" s="131" t="n"/>
      <c r="E10" s="131" t="n"/>
      <c r="F10" s="132" t="inlineStr">
        <is>
          <t>Mensual</t>
        </is>
      </c>
      <c r="G10" s="133" t="n"/>
      <c r="H10" s="134">
        <f>G10*1</f>
        <v/>
      </c>
      <c r="I10" s="133" t="n"/>
      <c r="J10" s="134">
        <f>I10*1</f>
        <v/>
      </c>
      <c r="K10" s="133" t="n"/>
      <c r="L10" s="134">
        <f>K10*1</f>
        <v/>
      </c>
      <c r="M10" s="133" t="n"/>
      <c r="N10" s="134">
        <f>M10*1</f>
        <v/>
      </c>
      <c r="O10" s="135">
        <f>SUM(G10,I10,K10,M10)</f>
        <v/>
      </c>
      <c r="P10" s="136">
        <f>SUM(N10,L10,J10,H10)</f>
        <v/>
      </c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9" t="n"/>
    </row>
    <row r="11" customFormat="1" s="52">
      <c r="A11" s="69" t="n"/>
      <c r="B11" s="130" t="inlineStr">
        <is>
          <t>N° de Charlas de Inducción (ODI)</t>
        </is>
      </c>
      <c r="C11" s="131" t="n"/>
      <c r="D11" s="131" t="n"/>
      <c r="E11" s="131" t="n"/>
      <c r="F11" s="132" t="inlineStr">
        <is>
          <t>Cada vez</t>
        </is>
      </c>
      <c r="G11" s="133" t="n"/>
      <c r="H11" s="134">
        <f>G11*3</f>
        <v/>
      </c>
      <c r="I11" s="133" t="n"/>
      <c r="J11" s="134">
        <f>I11*3</f>
        <v/>
      </c>
      <c r="K11" s="133" t="n"/>
      <c r="L11" s="134">
        <f>K11*3</f>
        <v/>
      </c>
      <c r="M11" s="133" t="n"/>
      <c r="N11" s="134">
        <f>M11*3</f>
        <v/>
      </c>
      <c r="O11" s="135">
        <f>SUM(G11,I11,K11,M11)</f>
        <v/>
      </c>
      <c r="P11" s="136">
        <f>SUM(N11,L11,J11,H11)</f>
        <v/>
      </c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9" t="n"/>
    </row>
    <row r="12" customFormat="1" s="52">
      <c r="A12" s="69" t="n"/>
      <c r="B12" s="130" t="inlineStr">
        <is>
          <t>N° de Charlas de Inducción Visita</t>
        </is>
      </c>
      <c r="C12" s="131" t="n"/>
      <c r="D12" s="131" t="n"/>
      <c r="E12" s="131" t="n"/>
      <c r="F12" s="132" t="inlineStr">
        <is>
          <t>Cada vez</t>
        </is>
      </c>
      <c r="G12" s="133" t="n"/>
      <c r="H12" s="134">
        <f>G12*0.25</f>
        <v/>
      </c>
      <c r="I12" s="133" t="n"/>
      <c r="J12" s="134">
        <f>I12*0.25</f>
        <v/>
      </c>
      <c r="K12" s="133" t="n"/>
      <c r="L12" s="134">
        <f>K11*0.25</f>
        <v/>
      </c>
      <c r="M12" s="133" t="n"/>
      <c r="N12" s="134">
        <f>M12*0.25</f>
        <v/>
      </c>
      <c r="O12" s="135">
        <f>SUM(G12,I12,K12,M12)</f>
        <v/>
      </c>
      <c r="P12" s="136">
        <f>SUM(N12,L12,J12,H12)</f>
        <v/>
      </c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9" t="n"/>
    </row>
    <row r="13" customFormat="1" s="52">
      <c r="A13" s="69" t="n"/>
      <c r="B13" s="130" t="inlineStr">
        <is>
          <t>N° de Charlas Generales (Diarias)</t>
        </is>
      </c>
      <c r="C13" s="131" t="n"/>
      <c r="D13" s="131" t="n"/>
      <c r="E13" s="131" t="n"/>
      <c r="F13" s="132" t="inlineStr">
        <is>
          <t>Diaria</t>
        </is>
      </c>
      <c r="G13" s="133" t="n"/>
      <c r="H13" s="134">
        <f>H29*0.25</f>
        <v/>
      </c>
      <c r="I13" s="133" t="n"/>
      <c r="J13" s="134">
        <f>J29*0.25</f>
        <v/>
      </c>
      <c r="K13" s="133" t="n"/>
      <c r="L13" s="134">
        <f>L29*0.25</f>
        <v/>
      </c>
      <c r="M13" s="133" t="n"/>
      <c r="N13" s="134">
        <f>N29*0.25</f>
        <v/>
      </c>
      <c r="O13" s="135">
        <f>SUM(G13,I13,K13,M13)</f>
        <v/>
      </c>
      <c r="P13" s="136">
        <f>SUM(N13,L13,J13,H13)</f>
        <v/>
      </c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9" t="n"/>
    </row>
    <row r="14" customFormat="1" s="52">
      <c r="A14" s="69" t="n"/>
      <c r="B14" s="130" t="inlineStr">
        <is>
          <t>N° de Charlas Integrales</t>
        </is>
      </c>
      <c r="C14" s="131" t="n"/>
      <c r="D14" s="131" t="n"/>
      <c r="E14" s="131" t="n"/>
      <c r="F14" s="132" t="inlineStr">
        <is>
          <t>Semanal</t>
        </is>
      </c>
      <c r="G14" s="133" t="n"/>
      <c r="H14" s="134">
        <f>H30*0.5</f>
        <v/>
      </c>
      <c r="I14" s="133" t="n"/>
      <c r="J14" s="134">
        <f>J30*0.5</f>
        <v/>
      </c>
      <c r="K14" s="133" t="n"/>
      <c r="L14" s="134">
        <f>L30*0.5</f>
        <v/>
      </c>
      <c r="M14" s="133" t="n"/>
      <c r="N14" s="134">
        <f>N30*0.5</f>
        <v/>
      </c>
      <c r="O14" s="135">
        <f>SUM(G14,I14,K14,M14)</f>
        <v/>
      </c>
      <c r="P14" s="136">
        <f>SUM(N14,L14,J14,H14)</f>
        <v/>
      </c>
      <c r="Q14" s="117" t="n"/>
      <c r="R14" s="117" t="n"/>
      <c r="S14" s="117" t="n"/>
      <c r="T14" s="117" t="n"/>
      <c r="U14" s="117" t="n"/>
      <c r="V14" s="117" t="n"/>
      <c r="W14" s="117" t="n"/>
      <c r="X14" s="117" t="n"/>
      <c r="Y14" s="117" t="n"/>
      <c r="Z14" s="119" t="n"/>
    </row>
    <row r="15" customFormat="1" s="52">
      <c r="A15" s="69" t="n"/>
      <c r="B15" s="130" t="inlineStr">
        <is>
          <t>Difusión de PTS</t>
        </is>
      </c>
      <c r="C15" s="131" t="n"/>
      <c r="D15" s="131" t="n"/>
      <c r="E15" s="131" t="n"/>
      <c r="F15" s="132" t="inlineStr">
        <is>
          <t>Cada vez</t>
        </is>
      </c>
      <c r="G15" s="133" t="n"/>
      <c r="H15" s="134">
        <f>G15*0.5</f>
        <v/>
      </c>
      <c r="I15" s="133" t="n"/>
      <c r="J15" s="134">
        <f>I15*0.5</f>
        <v/>
      </c>
      <c r="K15" s="133" t="n"/>
      <c r="L15" s="134">
        <f>K15*0.5</f>
        <v/>
      </c>
      <c r="M15" s="133" t="n"/>
      <c r="N15" s="134">
        <f>M15*0.5</f>
        <v/>
      </c>
      <c r="O15" s="135">
        <f>SUM(G15,I15,K15,M15)</f>
        <v/>
      </c>
      <c r="P15" s="136">
        <f>SUM(N15,L15,J15,H15)</f>
        <v/>
      </c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9" t="n"/>
    </row>
    <row r="16" customFormat="1" s="52">
      <c r="A16" s="69" t="n"/>
      <c r="B16" s="130" t="inlineStr">
        <is>
          <t>ART realizadas</t>
        </is>
      </c>
      <c r="C16" s="131" t="n"/>
      <c r="D16" s="131" t="n"/>
      <c r="E16" s="131" t="n"/>
      <c r="F16" s="132" t="inlineStr">
        <is>
          <t>Diaria</t>
        </is>
      </c>
      <c r="G16" s="133" t="n"/>
      <c r="H16" s="134">
        <f>G16*0.25</f>
        <v/>
      </c>
      <c r="I16" s="133" t="n"/>
      <c r="J16" s="134">
        <f>I16*0.25</f>
        <v/>
      </c>
      <c r="K16" s="133" t="n"/>
      <c r="L16" s="134">
        <f>K16*0.25</f>
        <v/>
      </c>
      <c r="M16" s="133" t="n"/>
      <c r="N16" s="134">
        <f>M16*0.25</f>
        <v/>
      </c>
      <c r="O16" s="135">
        <f>SUM(G16,I16,K16,M16)</f>
        <v/>
      </c>
      <c r="P16" s="136">
        <f>SUM(N16,L16,J16,H16)</f>
        <v/>
      </c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9" t="n"/>
    </row>
    <row r="17" customFormat="1" s="52">
      <c r="A17" s="69" t="n"/>
      <c r="B17" s="130" t="inlineStr">
        <is>
          <t>N° de Inspecciones Generales a las áreas de trabajo</t>
        </is>
      </c>
      <c r="C17" s="131" t="n"/>
      <c r="D17" s="131" t="n"/>
      <c r="E17" s="131" t="n"/>
      <c r="F17" s="132" t="inlineStr">
        <is>
          <t>Mensual</t>
        </is>
      </c>
      <c r="G17" s="133" t="n"/>
      <c r="H17" s="137" t="inlineStr">
        <is>
          <t>N/A</t>
        </is>
      </c>
      <c r="I17" s="133" t="n"/>
      <c r="J17" s="137" t="inlineStr">
        <is>
          <t>N/A</t>
        </is>
      </c>
      <c r="K17" s="133" t="n"/>
      <c r="L17" s="137" t="inlineStr">
        <is>
          <t>N/A</t>
        </is>
      </c>
      <c r="M17" s="133" t="n"/>
      <c r="N17" s="137" t="inlineStr">
        <is>
          <t>N/A</t>
        </is>
      </c>
      <c r="O17" s="135">
        <f>SUM(G17,I17,K17,M17)</f>
        <v/>
      </c>
      <c r="P17" s="136" t="inlineStr">
        <is>
          <t>N/A</t>
        </is>
      </c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9" t="n"/>
    </row>
    <row r="18" customFormat="1" s="52">
      <c r="A18" s="69" t="n"/>
      <c r="B18" s="130" t="inlineStr">
        <is>
          <t>N° de Inspecciones a bodegas SUSPEL/RESPEL</t>
        </is>
      </c>
      <c r="C18" s="131" t="n"/>
      <c r="D18" s="131" t="n"/>
      <c r="E18" s="131" t="n"/>
      <c r="F18" s="132" t="inlineStr">
        <is>
          <t>Trimestral</t>
        </is>
      </c>
      <c r="G18" s="133" t="n"/>
      <c r="H18" s="137" t="inlineStr">
        <is>
          <t>N/A</t>
        </is>
      </c>
      <c r="I18" s="133" t="n"/>
      <c r="J18" s="137" t="inlineStr">
        <is>
          <t>N/A</t>
        </is>
      </c>
      <c r="K18" s="133" t="n"/>
      <c r="L18" s="137" t="inlineStr">
        <is>
          <t>N/A</t>
        </is>
      </c>
      <c r="M18" s="133" t="n"/>
      <c r="N18" s="137" t="inlineStr">
        <is>
          <t>N/A</t>
        </is>
      </c>
      <c r="O18" s="135">
        <f>SUM(G18,I18,K18,M18)</f>
        <v/>
      </c>
      <c r="P18" s="136" t="inlineStr">
        <is>
          <t>N/A</t>
        </is>
      </c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9" t="n"/>
    </row>
    <row r="19" customFormat="1" s="52">
      <c r="A19" s="69" t="n"/>
      <c r="B19" s="130" t="inlineStr">
        <is>
          <t>N° de Inspecciones a maquinarias y equipo</t>
        </is>
      </c>
      <c r="C19" s="131" t="n"/>
      <c r="D19" s="131" t="n"/>
      <c r="E19" s="131" t="n"/>
      <c r="F19" s="132" t="inlineStr">
        <is>
          <t>Diaria</t>
        </is>
      </c>
      <c r="G19" s="133" t="n"/>
      <c r="H19" s="137" t="inlineStr">
        <is>
          <t>N/A</t>
        </is>
      </c>
      <c r="I19" s="133" t="n"/>
      <c r="J19" s="137" t="inlineStr">
        <is>
          <t>N/A</t>
        </is>
      </c>
      <c r="K19" s="133" t="n"/>
      <c r="L19" s="137" t="inlineStr">
        <is>
          <t>N/A</t>
        </is>
      </c>
      <c r="M19" s="133" t="n"/>
      <c r="N19" s="137" t="inlineStr">
        <is>
          <t>N/A</t>
        </is>
      </c>
      <c r="O19" s="135">
        <f>SUM(G19,I19,K19,M19)</f>
        <v/>
      </c>
      <c r="P19" s="136" t="inlineStr">
        <is>
          <t>N/A</t>
        </is>
      </c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9" t="n"/>
    </row>
    <row r="20" customFormat="1" s="52">
      <c r="A20" s="69" t="n"/>
      <c r="B20" s="130" t="inlineStr">
        <is>
          <t>N° de Inspecciones a equipamiento de emergencia (extintores)</t>
        </is>
      </c>
      <c r="C20" s="131" t="n"/>
      <c r="D20" s="131" t="n"/>
      <c r="E20" s="131" t="n"/>
      <c r="F20" s="132" t="inlineStr">
        <is>
          <t>Mensual</t>
        </is>
      </c>
      <c r="G20" s="133" t="n"/>
      <c r="H20" s="137" t="inlineStr">
        <is>
          <t>N/A</t>
        </is>
      </c>
      <c r="I20" s="133" t="n"/>
      <c r="J20" s="137" t="inlineStr">
        <is>
          <t>N/A</t>
        </is>
      </c>
      <c r="K20" s="133" t="n"/>
      <c r="L20" s="137" t="inlineStr">
        <is>
          <t>N/A</t>
        </is>
      </c>
      <c r="M20" s="133" t="n"/>
      <c r="N20" s="137" t="inlineStr">
        <is>
          <t>N/A</t>
        </is>
      </c>
      <c r="O20" s="135">
        <f>SUM(G20,I20,K20,M20)</f>
        <v/>
      </c>
      <c r="P20" s="136" t="inlineStr">
        <is>
          <t>N/A</t>
        </is>
      </c>
      <c r="Q20" s="117" t="n"/>
      <c r="R20" s="117" t="n"/>
      <c r="S20" s="117" t="n"/>
      <c r="T20" s="117" t="n"/>
      <c r="U20" s="117" t="n"/>
      <c r="V20" s="117" t="n"/>
      <c r="W20" s="117" t="n"/>
      <c r="X20" s="117" t="n"/>
      <c r="Y20" s="117" t="n"/>
      <c r="Z20" s="119" t="n"/>
    </row>
    <row r="21" customFormat="1" s="52">
      <c r="A21" s="69" t="n"/>
      <c r="B21" s="130" t="inlineStr">
        <is>
          <t>N° de Inspecciones a señalética de obra</t>
        </is>
      </c>
      <c r="C21" s="131" t="n"/>
      <c r="D21" s="131" t="n"/>
      <c r="E21" s="131" t="n"/>
      <c r="F21" s="132" t="inlineStr">
        <is>
          <t>Trimestral</t>
        </is>
      </c>
      <c r="G21" s="133" t="n"/>
      <c r="H21" s="137" t="inlineStr">
        <is>
          <t>N/A</t>
        </is>
      </c>
      <c r="I21" s="133" t="n"/>
      <c r="J21" s="137" t="inlineStr">
        <is>
          <t>N/A</t>
        </is>
      </c>
      <c r="K21" s="133" t="n"/>
      <c r="L21" s="137" t="inlineStr">
        <is>
          <t>N/A</t>
        </is>
      </c>
      <c r="M21" s="133" t="n"/>
      <c r="N21" s="137" t="inlineStr">
        <is>
          <t>N/A</t>
        </is>
      </c>
      <c r="O21" s="135">
        <f>SUM(G21,I21,K21,M21)</f>
        <v/>
      </c>
      <c r="P21" s="136" t="inlineStr">
        <is>
          <t>N/A</t>
        </is>
      </c>
      <c r="Q21" s="117" t="n"/>
      <c r="R21" s="117" t="n"/>
      <c r="S21" s="117" t="n"/>
      <c r="T21" s="117" t="n"/>
      <c r="U21" s="117" t="n"/>
      <c r="V21" s="117" t="n"/>
      <c r="W21" s="117" t="n"/>
      <c r="X21" s="117" t="n"/>
      <c r="Y21" s="117" t="n"/>
      <c r="Z21" s="119" t="n"/>
    </row>
    <row r="22" customFormat="1" s="52">
      <c r="A22" s="69" t="n"/>
      <c r="B22" s="130" t="inlineStr">
        <is>
          <t>Revisión de Documentación de maquinaria</t>
        </is>
      </c>
      <c r="C22" s="131" t="n"/>
      <c r="D22" s="131" t="n"/>
      <c r="E22" s="131" t="n"/>
      <c r="F22" s="132" t="inlineStr">
        <is>
          <t>Mensual</t>
        </is>
      </c>
      <c r="G22" s="133" t="n">
        <v>0</v>
      </c>
      <c r="H22" s="137" t="inlineStr">
        <is>
          <t>N/A</t>
        </is>
      </c>
      <c r="I22" s="133" t="n">
        <v>0</v>
      </c>
      <c r="J22" s="137" t="inlineStr">
        <is>
          <t>N/A</t>
        </is>
      </c>
      <c r="K22" s="133" t="n">
        <v>0</v>
      </c>
      <c r="L22" s="137" t="inlineStr">
        <is>
          <t>N/A</t>
        </is>
      </c>
      <c r="M22" s="133" t="n">
        <v>0</v>
      </c>
      <c r="N22" s="137" t="inlineStr">
        <is>
          <t>N/A</t>
        </is>
      </c>
      <c r="O22" s="135">
        <f>SUM(G22,I22,K22,M22)</f>
        <v/>
      </c>
      <c r="P22" s="136" t="inlineStr">
        <is>
          <t>N/A</t>
        </is>
      </c>
      <c r="Q22" s="117" t="n"/>
      <c r="R22" s="117" t="n"/>
      <c r="S22" s="117" t="n"/>
      <c r="T22" s="117" t="n"/>
      <c r="U22" s="117" t="n"/>
      <c r="V22" s="117" t="n"/>
      <c r="W22" s="117" t="n"/>
      <c r="X22" s="117" t="n"/>
      <c r="Y22" s="117" t="n"/>
      <c r="Z22" s="119" t="n"/>
    </row>
    <row r="23" customFormat="1" s="52">
      <c r="A23" s="69" t="n"/>
      <c r="B23" s="130" t="inlineStr">
        <is>
          <t>Inspección de medidas de seguridad en excavaciones</t>
        </is>
      </c>
      <c r="C23" s="131" t="n"/>
      <c r="D23" s="131" t="n"/>
      <c r="E23" s="131" t="n"/>
      <c r="F23" s="132" t="inlineStr">
        <is>
          <t>Mensual</t>
        </is>
      </c>
      <c r="G23" s="133" t="n"/>
      <c r="H23" s="137" t="inlineStr">
        <is>
          <t>N/A</t>
        </is>
      </c>
      <c r="I23" s="133" t="n"/>
      <c r="J23" s="137" t="inlineStr">
        <is>
          <t>N/A</t>
        </is>
      </c>
      <c r="K23" s="133" t="n"/>
      <c r="L23" s="137" t="inlineStr">
        <is>
          <t>N/A</t>
        </is>
      </c>
      <c r="M23" s="133" t="n"/>
      <c r="N23" s="137" t="inlineStr">
        <is>
          <t>N/A</t>
        </is>
      </c>
      <c r="O23" s="135">
        <f>SUM(G23,I23,K23,M23)</f>
        <v/>
      </c>
      <c r="P23" s="136" t="inlineStr">
        <is>
          <t>N/A</t>
        </is>
      </c>
      <c r="Q23" s="117" t="n"/>
      <c r="R23" s="117" t="n"/>
      <c r="S23" s="117" t="n"/>
      <c r="T23" s="117" t="n"/>
      <c r="U23" s="117" t="n"/>
      <c r="V23" s="117" t="n"/>
      <c r="W23" s="117" t="n"/>
      <c r="X23" s="117" t="n"/>
      <c r="Y23" s="117" t="n"/>
      <c r="Z23" s="119" t="n"/>
    </row>
    <row r="24" customFormat="1" s="52">
      <c r="A24" s="69" t="n"/>
      <c r="B24" s="130" t="inlineStr">
        <is>
          <t>Inspección a medidas de seguridad en trabajo en altura</t>
        </is>
      </c>
      <c r="C24" s="131" t="n"/>
      <c r="D24" s="131" t="n"/>
      <c r="E24" s="131" t="n"/>
      <c r="F24" s="132" t="inlineStr">
        <is>
          <t>Semanal</t>
        </is>
      </c>
      <c r="G24" s="133" t="n"/>
      <c r="H24" s="137" t="inlineStr">
        <is>
          <t>N/A</t>
        </is>
      </c>
      <c r="I24" s="133" t="n"/>
      <c r="J24" s="137" t="inlineStr">
        <is>
          <t>N/A</t>
        </is>
      </c>
      <c r="K24" s="133" t="n"/>
      <c r="L24" s="137" t="inlineStr">
        <is>
          <t>N/A</t>
        </is>
      </c>
      <c r="M24" s="133" t="n"/>
      <c r="N24" s="137" t="inlineStr">
        <is>
          <t>N/A</t>
        </is>
      </c>
      <c r="O24" s="135">
        <f>SUM(G24,I24,K24,M24)</f>
        <v/>
      </c>
      <c r="P24" s="136" t="inlineStr">
        <is>
          <t>N/A</t>
        </is>
      </c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9" t="n"/>
    </row>
    <row r="25" customFormat="1" s="52">
      <c r="A25" s="69" t="n"/>
      <c r="B25" s="130" t="inlineStr">
        <is>
          <t>Inspección de Medidas de Seguridad para trabajo en caliente.</t>
        </is>
      </c>
      <c r="C25" s="131" t="n"/>
      <c r="D25" s="131" t="n"/>
      <c r="E25" s="131" t="n"/>
      <c r="F25" s="132" t="inlineStr">
        <is>
          <t>Semanal</t>
        </is>
      </c>
      <c r="G25" s="133" t="n"/>
      <c r="H25" s="137" t="inlineStr">
        <is>
          <t>N/A</t>
        </is>
      </c>
      <c r="I25" s="133" t="n"/>
      <c r="J25" s="137" t="inlineStr">
        <is>
          <t>N/A</t>
        </is>
      </c>
      <c r="K25" s="133" t="n"/>
      <c r="L25" s="137" t="inlineStr">
        <is>
          <t>N/A</t>
        </is>
      </c>
      <c r="M25" s="133" t="n"/>
      <c r="N25" s="137" t="inlineStr">
        <is>
          <t>N/A</t>
        </is>
      </c>
      <c r="O25" s="135">
        <f>SUM(G25,I25,K25,M25)</f>
        <v/>
      </c>
      <c r="P25" s="136" t="inlineStr">
        <is>
          <t>N/A</t>
        </is>
      </c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9" t="n"/>
    </row>
    <row r="26" customFormat="1" s="52">
      <c r="A26" s="69" t="n"/>
      <c r="B26" s="138" t="inlineStr">
        <is>
          <t>Inspección de Medidas de Seguridad para trabajos en espacios confinados.</t>
        </is>
      </c>
      <c r="C26" s="131" t="n"/>
      <c r="D26" s="131" t="n"/>
      <c r="E26" s="131" t="n"/>
      <c r="F26" s="139" t="inlineStr">
        <is>
          <t>Diaria</t>
        </is>
      </c>
      <c r="G26" s="140" t="n">
        <v>0</v>
      </c>
      <c r="H26" s="137" t="inlineStr">
        <is>
          <t>N/A</t>
        </is>
      </c>
      <c r="I26" s="140" t="n">
        <v>0</v>
      </c>
      <c r="J26" s="137" t="inlineStr">
        <is>
          <t>N/A</t>
        </is>
      </c>
      <c r="K26" s="140" t="n">
        <v>0</v>
      </c>
      <c r="L26" s="137" t="inlineStr">
        <is>
          <t>N/A</t>
        </is>
      </c>
      <c r="M26" s="133" t="n">
        <v>0</v>
      </c>
      <c r="N26" s="137" t="inlineStr">
        <is>
          <t>N/A</t>
        </is>
      </c>
      <c r="O26" s="135">
        <f>SUM(G26,I26,K26,M26)</f>
        <v/>
      </c>
      <c r="P26" s="136" t="inlineStr">
        <is>
          <t>N/A</t>
        </is>
      </c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9" t="n"/>
    </row>
    <row r="27" customFormat="1" s="52">
      <c r="A27" s="69" t="n"/>
      <c r="B27" s="130" t="inlineStr">
        <is>
          <t>Inspección de Herramientas Eléctricas</t>
        </is>
      </c>
      <c r="C27" s="131" t="n"/>
      <c r="D27" s="131" t="n"/>
      <c r="E27" s="131" t="n"/>
      <c r="F27" s="132" t="inlineStr">
        <is>
          <t>Semanal</t>
        </is>
      </c>
      <c r="G27" s="133" t="n"/>
      <c r="H27" s="137" t="inlineStr">
        <is>
          <t>N/A</t>
        </is>
      </c>
      <c r="I27" s="133" t="n"/>
      <c r="J27" s="137" t="inlineStr">
        <is>
          <t>N/A</t>
        </is>
      </c>
      <c r="K27" s="133" t="n"/>
      <c r="L27" s="137" t="inlineStr">
        <is>
          <t>N/A</t>
        </is>
      </c>
      <c r="M27" s="133" t="n"/>
      <c r="N27" s="137" t="inlineStr">
        <is>
          <t>N/A</t>
        </is>
      </c>
      <c r="O27" s="135">
        <f>SUM(G27,I27,K27,M27)</f>
        <v/>
      </c>
      <c r="P27" s="136" t="inlineStr">
        <is>
          <t>N/A</t>
        </is>
      </c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9" t="n"/>
    </row>
    <row r="28" ht="14.4" customFormat="1" customHeight="1" s="52" thickBot="1">
      <c r="A28" s="69" t="n"/>
      <c r="B28" s="130" t="inlineStr">
        <is>
          <t>Inspección de Andamios</t>
        </is>
      </c>
      <c r="C28" s="131" t="n"/>
      <c r="D28" s="131" t="n"/>
      <c r="E28" s="131" t="n"/>
      <c r="F28" s="132" t="inlineStr">
        <is>
          <t>Diaria</t>
        </is>
      </c>
      <c r="G28" s="133" t="n"/>
      <c r="H28" s="137" t="inlineStr">
        <is>
          <t>N/A</t>
        </is>
      </c>
      <c r="I28" s="133" t="n"/>
      <c r="J28" s="137" t="inlineStr">
        <is>
          <t>N/A</t>
        </is>
      </c>
      <c r="K28" s="133" t="n"/>
      <c r="L28" s="137" t="inlineStr">
        <is>
          <t>N/A</t>
        </is>
      </c>
      <c r="M28" s="133" t="n"/>
      <c r="N28" s="137" t="inlineStr">
        <is>
          <t>N/A</t>
        </is>
      </c>
      <c r="O28" s="135">
        <f>SUM(G28,I28,K28,M28)</f>
        <v/>
      </c>
      <c r="P28" s="136" t="inlineStr">
        <is>
          <t>N/A</t>
        </is>
      </c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9" t="n"/>
    </row>
    <row r="29" ht="14.4" customFormat="1" customHeight="1" s="52" thickBot="1">
      <c r="A29" s="69" t="n"/>
      <c r="B29" s="141" t="inlineStr">
        <is>
          <t>Cantidad de Trabajadores — Charlas Generales</t>
        </is>
      </c>
      <c r="C29" s="142" t="n"/>
      <c r="D29" s="142" t="n"/>
      <c r="E29" s="142" t="n"/>
      <c r="F29" s="143" t="n"/>
      <c r="G29" s="143" t="n"/>
      <c r="H29" s="144" t="n"/>
      <c r="I29" s="143" t="n"/>
      <c r="J29" s="144" t="n"/>
      <c r="K29" s="143" t="n"/>
      <c r="L29" s="144" t="n"/>
      <c r="M29" s="143" t="n"/>
      <c r="N29" s="144" t="n"/>
      <c r="O29" s="145" t="n"/>
      <c r="P29" s="146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</row>
    <row r="30" customFormat="1" s="52">
      <c r="A30" s="69" t="n"/>
      <c r="B30" s="141" t="inlineStr">
        <is>
          <t>Cantidad de Trabajadores — Charlas Integrales</t>
        </is>
      </c>
      <c r="C30" s="142" t="n"/>
      <c r="D30" s="142" t="n"/>
      <c r="E30" s="142" t="n"/>
      <c r="F30" s="142" t="n"/>
      <c r="G30" s="143" t="n"/>
      <c r="H30" s="144" t="n"/>
      <c r="I30" s="143" t="n"/>
      <c r="J30" s="144" t="n"/>
      <c r="K30" s="143" t="n"/>
      <c r="L30" s="144" t="n"/>
      <c r="M30" s="143" t="n"/>
      <c r="N30" s="144" t="n"/>
      <c r="O30" s="145" t="n"/>
      <c r="P30" s="146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</row>
    <row r="31" customFormat="1" s="52">
      <c r="A31" s="69" t="n"/>
      <c r="B31" s="147" t="inlineStr">
        <is>
          <t>CPHS — Comité Paritario de Higiene y Seguridad</t>
        </is>
      </c>
      <c r="C31" s="148" t="n"/>
      <c r="D31" s="148" t="n"/>
      <c r="E31" s="148" t="n"/>
      <c r="F31" s="149" t="inlineStr">
        <is>
          <t>—</t>
        </is>
      </c>
      <c r="G31" s="150" t="n"/>
      <c r="H31" s="151" t="n"/>
      <c r="I31" s="150" t="n"/>
      <c r="J31" s="151" t="n"/>
      <c r="K31" s="150" t="n"/>
      <c r="L31" s="151" t="n"/>
      <c r="M31" s="150" t="n"/>
      <c r="N31" s="151" t="n"/>
      <c r="O31" s="152" t="n"/>
      <c r="P31" s="153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</row>
    <row r="32" customFormat="1" s="52">
      <c r="A32" s="69" t="n"/>
      <c r="B32" s="52" t="n"/>
      <c r="O32" s="69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</row>
    <row r="33" customFormat="1" s="52">
      <c r="A33" s="69" t="n"/>
      <c r="B33" s="52" t="n"/>
      <c r="O33" s="69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</row>
    <row r="34" customFormat="1" s="52">
      <c r="A34" s="69" t="n"/>
      <c r="B34" s="52" t="n"/>
      <c r="O34" s="69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</row>
    <row r="35" customFormat="1" s="52">
      <c r="A35" s="69" t="n"/>
      <c r="B35" s="52" t="n"/>
      <c r="O35" s="69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</row>
    <row r="36" customFormat="1" s="52">
      <c r="A36" s="69" t="n"/>
      <c r="B36" s="52" t="n"/>
      <c r="O36" s="69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</row>
  </sheetData>
  <mergeCells count="32">
    <mergeCell ref="E2:P5"/>
    <mergeCell ref="B9:E9"/>
    <mergeCell ref="B30:E30"/>
    <mergeCell ref="B15:E15"/>
    <mergeCell ref="B33:E33"/>
    <mergeCell ref="B24:E24"/>
    <mergeCell ref="B8:P8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21:E21"/>
    <mergeCell ref="B11:E11"/>
    <mergeCell ref="B14:E14"/>
    <mergeCell ref="B17:E17"/>
    <mergeCell ref="B23:E23"/>
    <mergeCell ref="B13:E13"/>
    <mergeCell ref="B6:P7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2026-06-07T00:16:01Z</dcterms:modified>
  <cp:lastModifiedBy>bismarck Suazo</cp:lastModifiedBy>
  <cp:lastPrinted>2026-02-09T04:36:13Z</cp:lastPrinted>
</cp:coreProperties>
</file>